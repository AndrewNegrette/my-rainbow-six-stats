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egrette/Downloads/"/>
    </mc:Choice>
  </mc:AlternateContent>
  <xr:revisionPtr revIDLastSave="0" documentId="13_ncr:1_{CE25E844-464F-9D48-A815-1B79BDA83128}" xr6:coauthVersionLast="47" xr6:coauthVersionMax="47" xr10:uidLastSave="{00000000-0000-0000-0000-000000000000}"/>
  <bookViews>
    <workbookView xWindow="0" yWindow="740" windowWidth="30240" windowHeight="18900" xr2:uid="{7BBD8634-E8C5-5745-962B-A58488500C42}"/>
  </bookViews>
  <sheets>
    <sheet name="Op_all" sheetId="5" r:id="rId1"/>
    <sheet name="Map_all" sheetId="8" r:id="rId2"/>
    <sheet name="Map_PC_ranked" sheetId="10" r:id="rId3"/>
    <sheet name="Map_PSN_ranked" sheetId="11" r:id="rId4"/>
    <sheet name="Op_PSN_all" sheetId="2" r:id="rId5"/>
    <sheet name="Op_PSN_ranked" sheetId="1" r:id="rId6"/>
    <sheet name="Op_PC_all" sheetId="4" r:id="rId7"/>
    <sheet name="Op_PC_ranked" sheetId="3" r:id="rId8"/>
    <sheet name="Op_working table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6" i="7" l="1"/>
  <c r="AI7" i="7"/>
  <c r="AI8" i="7"/>
  <c r="AI9" i="7"/>
  <c r="AI10" i="7"/>
  <c r="AI11" i="7"/>
  <c r="AI12" i="7"/>
  <c r="AI13" i="7"/>
  <c r="AI14" i="7"/>
  <c r="AI15" i="7"/>
  <c r="AI16" i="7"/>
  <c r="AI17" i="7"/>
  <c r="AI18" i="7"/>
  <c r="AI19" i="7"/>
  <c r="AI20" i="7"/>
  <c r="AI21" i="7"/>
  <c r="AI22" i="7"/>
  <c r="AI23" i="7"/>
  <c r="AI24" i="7"/>
  <c r="AI25" i="7"/>
  <c r="AI26" i="7"/>
  <c r="AI28" i="7"/>
  <c r="AI29" i="7"/>
  <c r="AI30" i="7"/>
  <c r="AI31" i="7"/>
  <c r="AI32" i="7"/>
  <c r="AI33" i="7"/>
  <c r="AI34" i="7"/>
  <c r="AI35" i="7"/>
  <c r="AI36" i="7"/>
  <c r="AI37" i="7"/>
  <c r="AI38" i="7"/>
  <c r="AI39" i="7"/>
  <c r="AI40" i="7"/>
  <c r="AI43" i="7"/>
  <c r="AI44" i="7"/>
  <c r="AI45" i="7"/>
  <c r="AI46" i="7"/>
  <c r="AI47" i="7"/>
  <c r="AI49" i="7"/>
  <c r="AI51" i="7"/>
  <c r="AI52" i="7"/>
  <c r="AI53" i="7"/>
  <c r="AI54" i="7"/>
  <c r="AI55" i="7"/>
  <c r="AI56" i="7"/>
  <c r="AI57" i="7"/>
  <c r="AI58" i="7"/>
  <c r="AI59" i="7"/>
  <c r="AI60" i="7"/>
  <c r="AI63" i="7"/>
  <c r="AI64" i="7"/>
  <c r="AI65" i="7"/>
  <c r="AI66" i="7"/>
  <c r="AI67" i="7"/>
  <c r="AI68" i="7"/>
  <c r="AI69" i="7"/>
  <c r="AI70" i="7"/>
  <c r="AI71" i="7"/>
  <c r="AI72" i="7"/>
  <c r="AI73" i="7"/>
  <c r="AI74" i="7"/>
  <c r="AI76" i="7"/>
  <c r="AI77" i="7"/>
  <c r="AI78" i="7"/>
  <c r="AI5" i="7"/>
  <c r="AM6" i="7"/>
  <c r="AN6" i="7"/>
  <c r="AO6" i="7"/>
  <c r="AP6" i="7"/>
  <c r="AQ6" i="7"/>
  <c r="AM7" i="7"/>
  <c r="AN7" i="7"/>
  <c r="AO7" i="7"/>
  <c r="AP7" i="7"/>
  <c r="AQ7" i="7"/>
  <c r="AM8" i="7"/>
  <c r="AN8" i="7"/>
  <c r="AO8" i="7"/>
  <c r="AP8" i="7"/>
  <c r="AQ8" i="7"/>
  <c r="AM9" i="7"/>
  <c r="AN9" i="7"/>
  <c r="AO9" i="7"/>
  <c r="AP9" i="7"/>
  <c r="AQ9" i="7"/>
  <c r="AM10" i="7"/>
  <c r="AN10" i="7"/>
  <c r="AO10" i="7"/>
  <c r="AP10" i="7"/>
  <c r="AQ10" i="7"/>
  <c r="AM11" i="7"/>
  <c r="AN11" i="7"/>
  <c r="AO11" i="7"/>
  <c r="AP11" i="7"/>
  <c r="AQ11" i="7"/>
  <c r="AM12" i="7"/>
  <c r="AN12" i="7"/>
  <c r="AO12" i="7"/>
  <c r="AP12" i="7"/>
  <c r="AQ12" i="7"/>
  <c r="AM13" i="7"/>
  <c r="AN13" i="7"/>
  <c r="AO13" i="7"/>
  <c r="AP13" i="7"/>
  <c r="AQ13" i="7"/>
  <c r="AM14" i="7"/>
  <c r="AN14" i="7"/>
  <c r="AO14" i="7"/>
  <c r="AP14" i="7"/>
  <c r="AQ14" i="7"/>
  <c r="AM15" i="7"/>
  <c r="AN15" i="7"/>
  <c r="AO15" i="7"/>
  <c r="AP15" i="7"/>
  <c r="AQ15" i="7"/>
  <c r="AM16" i="7"/>
  <c r="AN16" i="7"/>
  <c r="AO16" i="7"/>
  <c r="AP16" i="7"/>
  <c r="AQ16" i="7"/>
  <c r="AM17" i="7"/>
  <c r="AN17" i="7"/>
  <c r="AO17" i="7"/>
  <c r="AP17" i="7"/>
  <c r="AQ17" i="7"/>
  <c r="AM18" i="7"/>
  <c r="AN18" i="7"/>
  <c r="AO18" i="7"/>
  <c r="AP18" i="7"/>
  <c r="AQ18" i="7"/>
  <c r="AM19" i="7"/>
  <c r="AN19" i="7"/>
  <c r="AO19" i="7"/>
  <c r="AP19" i="7"/>
  <c r="AQ19" i="7"/>
  <c r="AM20" i="7"/>
  <c r="AN20" i="7"/>
  <c r="AO20" i="7"/>
  <c r="AP20" i="7"/>
  <c r="AQ20" i="7"/>
  <c r="AM21" i="7"/>
  <c r="AN21" i="7"/>
  <c r="AO21" i="7"/>
  <c r="AP21" i="7"/>
  <c r="AQ21" i="7"/>
  <c r="AM22" i="7"/>
  <c r="AN22" i="7"/>
  <c r="AO22" i="7"/>
  <c r="AP22" i="7"/>
  <c r="AQ22" i="7"/>
  <c r="AM23" i="7"/>
  <c r="AN23" i="7"/>
  <c r="AO23" i="7"/>
  <c r="AP23" i="7"/>
  <c r="AQ23" i="7"/>
  <c r="AM24" i="7"/>
  <c r="AN24" i="7"/>
  <c r="AO24" i="7"/>
  <c r="AP24" i="7"/>
  <c r="AQ24" i="7"/>
  <c r="AM25" i="7"/>
  <c r="AN25" i="7"/>
  <c r="AO25" i="7"/>
  <c r="AP25" i="7"/>
  <c r="AQ25" i="7"/>
  <c r="AM26" i="7"/>
  <c r="AN26" i="7"/>
  <c r="AO26" i="7"/>
  <c r="AP26" i="7"/>
  <c r="AQ26" i="7"/>
  <c r="AM27" i="7"/>
  <c r="AN27" i="7"/>
  <c r="AO27" i="7"/>
  <c r="AP27" i="7"/>
  <c r="AQ27" i="7"/>
  <c r="AM28" i="7"/>
  <c r="AN28" i="7"/>
  <c r="AO28" i="7"/>
  <c r="AP28" i="7"/>
  <c r="AQ28" i="7"/>
  <c r="AM29" i="7"/>
  <c r="AN29" i="7"/>
  <c r="AO29" i="7"/>
  <c r="AP29" i="7"/>
  <c r="AQ29" i="7"/>
  <c r="AM30" i="7"/>
  <c r="AN30" i="7"/>
  <c r="AO30" i="7"/>
  <c r="AP30" i="7"/>
  <c r="AQ30" i="7"/>
  <c r="AM31" i="7"/>
  <c r="AN31" i="7"/>
  <c r="AO31" i="7"/>
  <c r="AP31" i="7"/>
  <c r="AQ31" i="7"/>
  <c r="AM32" i="7"/>
  <c r="AN32" i="7"/>
  <c r="AO32" i="7"/>
  <c r="AP32" i="7"/>
  <c r="AQ32" i="7"/>
  <c r="AM33" i="7"/>
  <c r="AN33" i="7"/>
  <c r="AO33" i="7"/>
  <c r="AP33" i="7"/>
  <c r="AQ33" i="7"/>
  <c r="AM34" i="7"/>
  <c r="AN34" i="7"/>
  <c r="AO34" i="7"/>
  <c r="AP34" i="7"/>
  <c r="AQ34" i="7"/>
  <c r="AM35" i="7"/>
  <c r="AN35" i="7"/>
  <c r="AO35" i="7"/>
  <c r="AP35" i="7"/>
  <c r="AQ35" i="7"/>
  <c r="AM36" i="7"/>
  <c r="AN36" i="7"/>
  <c r="AO36" i="7"/>
  <c r="AP36" i="7"/>
  <c r="AQ36" i="7"/>
  <c r="AM37" i="7"/>
  <c r="AN37" i="7"/>
  <c r="AO37" i="7"/>
  <c r="AP37" i="7"/>
  <c r="AQ37" i="7"/>
  <c r="AM38" i="7"/>
  <c r="AN38" i="7"/>
  <c r="AO38" i="7"/>
  <c r="AP38" i="7"/>
  <c r="AQ38" i="7"/>
  <c r="AM39" i="7"/>
  <c r="AN39" i="7"/>
  <c r="AO39" i="7"/>
  <c r="AP39" i="7"/>
  <c r="AQ39" i="7"/>
  <c r="AM40" i="7"/>
  <c r="AN40" i="7"/>
  <c r="AO40" i="7"/>
  <c r="AP40" i="7"/>
  <c r="AQ40" i="7"/>
  <c r="AM41" i="7"/>
  <c r="AN41" i="7"/>
  <c r="AO41" i="7"/>
  <c r="AP41" i="7"/>
  <c r="AQ41" i="7"/>
  <c r="AM42" i="7"/>
  <c r="AN42" i="7"/>
  <c r="AO42" i="7"/>
  <c r="AP42" i="7"/>
  <c r="AQ42" i="7"/>
  <c r="AM43" i="7"/>
  <c r="AN43" i="7"/>
  <c r="AO43" i="7"/>
  <c r="AP43" i="7"/>
  <c r="AQ43" i="7"/>
  <c r="AM44" i="7"/>
  <c r="AN44" i="7"/>
  <c r="AO44" i="7"/>
  <c r="AP44" i="7"/>
  <c r="AQ44" i="7"/>
  <c r="AM45" i="7"/>
  <c r="AN45" i="7"/>
  <c r="AO45" i="7"/>
  <c r="AP45" i="7"/>
  <c r="AQ45" i="7"/>
  <c r="AM46" i="7"/>
  <c r="AN46" i="7"/>
  <c r="AO46" i="7"/>
  <c r="AP46" i="7"/>
  <c r="AQ46" i="7"/>
  <c r="AM47" i="7"/>
  <c r="AN47" i="7"/>
  <c r="AO47" i="7"/>
  <c r="AP47" i="7"/>
  <c r="AQ47" i="7"/>
  <c r="AM48" i="7"/>
  <c r="AN48" i="7"/>
  <c r="AO48" i="7"/>
  <c r="AP48" i="7"/>
  <c r="AQ48" i="7"/>
  <c r="AM49" i="7"/>
  <c r="AN49" i="7"/>
  <c r="AO49" i="7"/>
  <c r="AP49" i="7"/>
  <c r="AQ49" i="7"/>
  <c r="AM50" i="7"/>
  <c r="AN50" i="7"/>
  <c r="AO50" i="7"/>
  <c r="AP50" i="7"/>
  <c r="AQ50" i="7"/>
  <c r="AM51" i="7"/>
  <c r="AN51" i="7"/>
  <c r="AO51" i="7"/>
  <c r="AP51" i="7"/>
  <c r="AQ51" i="7"/>
  <c r="AM52" i="7"/>
  <c r="AN52" i="7"/>
  <c r="AO52" i="7"/>
  <c r="AP52" i="7"/>
  <c r="AQ52" i="7"/>
  <c r="AM53" i="7"/>
  <c r="AN53" i="7"/>
  <c r="AO53" i="7"/>
  <c r="AP53" i="7"/>
  <c r="AQ53" i="7"/>
  <c r="AM54" i="7"/>
  <c r="AN54" i="7"/>
  <c r="AO54" i="7"/>
  <c r="AP54" i="7"/>
  <c r="AQ54" i="7"/>
  <c r="AM55" i="7"/>
  <c r="AN55" i="7"/>
  <c r="AO55" i="7"/>
  <c r="AP55" i="7"/>
  <c r="AQ55" i="7"/>
  <c r="AM56" i="7"/>
  <c r="AN56" i="7"/>
  <c r="AO56" i="7"/>
  <c r="AP56" i="7"/>
  <c r="AQ56" i="7"/>
  <c r="AM57" i="7"/>
  <c r="AN57" i="7"/>
  <c r="AO57" i="7"/>
  <c r="AP57" i="7"/>
  <c r="AQ57" i="7"/>
  <c r="AM58" i="7"/>
  <c r="AN58" i="7"/>
  <c r="AO58" i="7"/>
  <c r="AP58" i="7"/>
  <c r="AQ58" i="7"/>
  <c r="AM59" i="7"/>
  <c r="AN59" i="7"/>
  <c r="AO59" i="7"/>
  <c r="AP59" i="7"/>
  <c r="AQ59" i="7"/>
  <c r="AM60" i="7"/>
  <c r="AN60" i="7"/>
  <c r="AO60" i="7"/>
  <c r="AP60" i="7"/>
  <c r="AQ60" i="7"/>
  <c r="AM61" i="7"/>
  <c r="AN61" i="7"/>
  <c r="AO61" i="7"/>
  <c r="AP61" i="7"/>
  <c r="AQ61" i="7"/>
  <c r="AM62" i="7"/>
  <c r="AN62" i="7"/>
  <c r="AO62" i="7"/>
  <c r="AP62" i="7"/>
  <c r="AQ62" i="7"/>
  <c r="AM63" i="7"/>
  <c r="AN63" i="7"/>
  <c r="AO63" i="7"/>
  <c r="AP63" i="7"/>
  <c r="AQ63" i="7"/>
  <c r="AM64" i="7"/>
  <c r="AN64" i="7"/>
  <c r="AO64" i="7"/>
  <c r="AP64" i="7"/>
  <c r="AQ64" i="7"/>
  <c r="AM65" i="7"/>
  <c r="AN65" i="7"/>
  <c r="AO65" i="7"/>
  <c r="AP65" i="7"/>
  <c r="AQ65" i="7"/>
  <c r="AM66" i="7"/>
  <c r="AN66" i="7"/>
  <c r="AO66" i="7"/>
  <c r="AP66" i="7"/>
  <c r="AQ66" i="7"/>
  <c r="AM67" i="7"/>
  <c r="AN67" i="7"/>
  <c r="AO67" i="7"/>
  <c r="AP67" i="7"/>
  <c r="AQ67" i="7"/>
  <c r="AM68" i="7"/>
  <c r="AN68" i="7"/>
  <c r="AO68" i="7"/>
  <c r="AP68" i="7"/>
  <c r="AQ68" i="7"/>
  <c r="AM69" i="7"/>
  <c r="AN69" i="7"/>
  <c r="AO69" i="7"/>
  <c r="AP69" i="7"/>
  <c r="AQ69" i="7"/>
  <c r="AM70" i="7"/>
  <c r="AN70" i="7"/>
  <c r="AO70" i="7"/>
  <c r="AP70" i="7"/>
  <c r="AQ70" i="7"/>
  <c r="AM71" i="7"/>
  <c r="AN71" i="7"/>
  <c r="AO71" i="7"/>
  <c r="AP71" i="7"/>
  <c r="AQ71" i="7"/>
  <c r="AM72" i="7"/>
  <c r="AN72" i="7"/>
  <c r="AO72" i="7"/>
  <c r="AP72" i="7"/>
  <c r="AQ72" i="7"/>
  <c r="AM73" i="7"/>
  <c r="AN73" i="7"/>
  <c r="AO73" i="7"/>
  <c r="AP73" i="7"/>
  <c r="AQ73" i="7"/>
  <c r="AM74" i="7"/>
  <c r="AN74" i="7"/>
  <c r="AO74" i="7"/>
  <c r="AP74" i="7"/>
  <c r="AQ74" i="7"/>
  <c r="AM75" i="7"/>
  <c r="AN75" i="7"/>
  <c r="AO75" i="7"/>
  <c r="AP75" i="7"/>
  <c r="AQ75" i="7"/>
  <c r="AM76" i="7"/>
  <c r="AN76" i="7"/>
  <c r="AO76" i="7"/>
  <c r="AP76" i="7"/>
  <c r="AQ76" i="7"/>
  <c r="AM77" i="7"/>
  <c r="AN77" i="7"/>
  <c r="AO77" i="7"/>
  <c r="AP77" i="7"/>
  <c r="AQ77" i="7"/>
  <c r="AM78" i="7"/>
  <c r="AN78" i="7"/>
  <c r="AO78" i="7"/>
  <c r="AP78" i="7"/>
  <c r="AQ78" i="7"/>
  <c r="AN5" i="7"/>
  <c r="AO5" i="7"/>
  <c r="AP5" i="7"/>
  <c r="AQ5" i="7"/>
  <c r="AM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8" i="7"/>
  <c r="AH29" i="7"/>
  <c r="AH30" i="7"/>
  <c r="AH31" i="7"/>
  <c r="AH32" i="7"/>
  <c r="AH33" i="7"/>
  <c r="AH34" i="7"/>
  <c r="AH35" i="7"/>
  <c r="AH36" i="7"/>
  <c r="AH37" i="7"/>
  <c r="AH38" i="7"/>
  <c r="AH39" i="7"/>
  <c r="AH40" i="7"/>
  <c r="AH43" i="7"/>
  <c r="AH44" i="7"/>
  <c r="AH45" i="7"/>
  <c r="AH46" i="7"/>
  <c r="AH47" i="7"/>
  <c r="AH49" i="7"/>
  <c r="AH51" i="7"/>
  <c r="AH52" i="7"/>
  <c r="AH53" i="7"/>
  <c r="AH54" i="7"/>
  <c r="AH55" i="7"/>
  <c r="AH56" i="7"/>
  <c r="AH57" i="7"/>
  <c r="AH58" i="7"/>
  <c r="AH59" i="7"/>
  <c r="AH60" i="7"/>
  <c r="AH63" i="7"/>
  <c r="AH64" i="7"/>
  <c r="AH65" i="7"/>
  <c r="AH66" i="7"/>
  <c r="AH67" i="7"/>
  <c r="AH68" i="7"/>
  <c r="AH69" i="7"/>
  <c r="AH70" i="7"/>
  <c r="AH71" i="7"/>
  <c r="AH72" i="7"/>
  <c r="AH73" i="7"/>
  <c r="AH74" i="7"/>
  <c r="AH75" i="7"/>
  <c r="AH76" i="7"/>
  <c r="AH77" i="7"/>
  <c r="AH78" i="7"/>
  <c r="AH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L35" i="7"/>
  <c r="AL36" i="7"/>
  <c r="AL37" i="7"/>
  <c r="AL38" i="7"/>
  <c r="AL39" i="7"/>
  <c r="AL40" i="7"/>
  <c r="AL41" i="7"/>
  <c r="AL42" i="7"/>
  <c r="AL43" i="7"/>
  <c r="AL44" i="7"/>
  <c r="AL45" i="7"/>
  <c r="AL46" i="7"/>
  <c r="AL47" i="7"/>
  <c r="AL48" i="7"/>
  <c r="AL49" i="7"/>
  <c r="AL50" i="7"/>
  <c r="AL51" i="7"/>
  <c r="AL52" i="7"/>
  <c r="AL53" i="7"/>
  <c r="AL54" i="7"/>
  <c r="AL55" i="7"/>
  <c r="AL56" i="7"/>
  <c r="AL57" i="7"/>
  <c r="AL58" i="7"/>
  <c r="AL59" i="7"/>
  <c r="AL60" i="7"/>
  <c r="AL61" i="7"/>
  <c r="AL62" i="7"/>
  <c r="AL63" i="7"/>
  <c r="AL64" i="7"/>
  <c r="AL65" i="7"/>
  <c r="AL66" i="7"/>
  <c r="AL67" i="7"/>
  <c r="AL68" i="7"/>
  <c r="AL69" i="7"/>
  <c r="AL70" i="7"/>
  <c r="AL71" i="7"/>
  <c r="AL72" i="7"/>
  <c r="AL73" i="7"/>
  <c r="AL74" i="7"/>
  <c r="AL75" i="7"/>
  <c r="AL76" i="7"/>
  <c r="AL77" i="7"/>
  <c r="AL78" i="7"/>
  <c r="AL5" i="7"/>
  <c r="AK6" i="7"/>
  <c r="AK7" i="7"/>
  <c r="AK8" i="7"/>
  <c r="AK9" i="7"/>
  <c r="AK10" i="7"/>
  <c r="AK11" i="7"/>
  <c r="AK12" i="7"/>
  <c r="AK13" i="7"/>
  <c r="AK14" i="7"/>
  <c r="AK15" i="7"/>
  <c r="AK16" i="7"/>
  <c r="AK17" i="7"/>
  <c r="AK18" i="7"/>
  <c r="AK19" i="7"/>
  <c r="AK20" i="7"/>
  <c r="AK21" i="7"/>
  <c r="AK22" i="7"/>
  <c r="AK23" i="7"/>
  <c r="AK24" i="7"/>
  <c r="AK25" i="7"/>
  <c r="AK26" i="7"/>
  <c r="AK27" i="7"/>
  <c r="AK28" i="7"/>
  <c r="AK29" i="7"/>
  <c r="AK30" i="7"/>
  <c r="AK31" i="7"/>
  <c r="AK32" i="7"/>
  <c r="AK33" i="7"/>
  <c r="AK34" i="7"/>
  <c r="AK35" i="7"/>
  <c r="AK36" i="7"/>
  <c r="AK37" i="7"/>
  <c r="AK38" i="7"/>
  <c r="AK39" i="7"/>
  <c r="AK40" i="7"/>
  <c r="AK41" i="7"/>
  <c r="AK42" i="7"/>
  <c r="AK43" i="7"/>
  <c r="AK44" i="7"/>
  <c r="AK45" i="7"/>
  <c r="AK46" i="7"/>
  <c r="AK47" i="7"/>
  <c r="AK48" i="7"/>
  <c r="AK49" i="7"/>
  <c r="AK50" i="7"/>
  <c r="AK51" i="7"/>
  <c r="AK52" i="7"/>
  <c r="AK53" i="7"/>
  <c r="AK54" i="7"/>
  <c r="AK55" i="7"/>
  <c r="AK56" i="7"/>
  <c r="AK57" i="7"/>
  <c r="AK58" i="7"/>
  <c r="AK59" i="7"/>
  <c r="AK60" i="7"/>
  <c r="AK61" i="7"/>
  <c r="AK62" i="7"/>
  <c r="AK63" i="7"/>
  <c r="AK64" i="7"/>
  <c r="AK65" i="7"/>
  <c r="AK66" i="7"/>
  <c r="AK67" i="7"/>
  <c r="AK68" i="7"/>
  <c r="AK69" i="7"/>
  <c r="AK70" i="7"/>
  <c r="AK71" i="7"/>
  <c r="AK72" i="7"/>
  <c r="AK73" i="7"/>
  <c r="AK74" i="7"/>
  <c r="AK75" i="7"/>
  <c r="AK76" i="7"/>
  <c r="AK77" i="7"/>
  <c r="AK78" i="7"/>
  <c r="AK5" i="7"/>
  <c r="AG6" i="7"/>
  <c r="AG7" i="7"/>
  <c r="AG8" i="7"/>
  <c r="AG9" i="7"/>
  <c r="AG10" i="7"/>
  <c r="AG11" i="7"/>
  <c r="AG12" i="7"/>
  <c r="AG13" i="7"/>
  <c r="AG14" i="7"/>
  <c r="AG15" i="7"/>
  <c r="AG16" i="7"/>
  <c r="AG17" i="7"/>
  <c r="AG18" i="7"/>
  <c r="AG19" i="7"/>
  <c r="AG20" i="7"/>
  <c r="AG21" i="7"/>
  <c r="AG22" i="7"/>
  <c r="AG23" i="7"/>
  <c r="AG24" i="7"/>
  <c r="AG25" i="7"/>
  <c r="AG26" i="7"/>
  <c r="AG27" i="7"/>
  <c r="AG28" i="7"/>
  <c r="AG29" i="7"/>
  <c r="AG30" i="7"/>
  <c r="AG31" i="7"/>
  <c r="AG32" i="7"/>
  <c r="AG33" i="7"/>
  <c r="AG34" i="7"/>
  <c r="AG35" i="7"/>
  <c r="AG36" i="7"/>
  <c r="AG37" i="7"/>
  <c r="AG38" i="7"/>
  <c r="AG39" i="7"/>
  <c r="AG40" i="7"/>
  <c r="AG41" i="7"/>
  <c r="AG42" i="7"/>
  <c r="AG43" i="7"/>
  <c r="AG44" i="7"/>
  <c r="AG45" i="7"/>
  <c r="AG46" i="7"/>
  <c r="AG47" i="7"/>
  <c r="AG48" i="7"/>
  <c r="AG49" i="7"/>
  <c r="AG50" i="7"/>
  <c r="AG51" i="7"/>
  <c r="AG52" i="7"/>
  <c r="AG53" i="7"/>
  <c r="AG54" i="7"/>
  <c r="AG55" i="7"/>
  <c r="AG56" i="7"/>
  <c r="AG57" i="7"/>
  <c r="AG58" i="7"/>
  <c r="AG59" i="7"/>
  <c r="AG60" i="7"/>
  <c r="AG61" i="7"/>
  <c r="AG62" i="7"/>
  <c r="AG63" i="7"/>
  <c r="AG64" i="7"/>
  <c r="AG65" i="7"/>
  <c r="AG66" i="7"/>
  <c r="AG67" i="7"/>
  <c r="AG68" i="7"/>
  <c r="AG69" i="7"/>
  <c r="AG70" i="7"/>
  <c r="AG71" i="7"/>
  <c r="AG72" i="7"/>
  <c r="AG73" i="7"/>
  <c r="AG74" i="7"/>
  <c r="AG75" i="7"/>
  <c r="AG76" i="7"/>
  <c r="AG77" i="7"/>
  <c r="AG78" i="7"/>
  <c r="AG5" i="7"/>
</calcChain>
</file>

<file path=xl/sharedStrings.xml><?xml version="1.0" encoding="utf-8"?>
<sst xmlns="http://schemas.openxmlformats.org/spreadsheetml/2006/main" count="1232" uniqueCount="122">
  <si>
    <t>rounds_played</t>
  </si>
  <si>
    <t>win_percent</t>
  </si>
  <si>
    <t>kd</t>
  </si>
  <si>
    <t>operator_type</t>
  </si>
  <si>
    <t>operator_ID</t>
  </si>
  <si>
    <t>wins</t>
  </si>
  <si>
    <t>losses</t>
  </si>
  <si>
    <t>kills</t>
  </si>
  <si>
    <t>deaths</t>
  </si>
  <si>
    <t>assists</t>
  </si>
  <si>
    <t>aces</t>
  </si>
  <si>
    <t>tks</t>
  </si>
  <si>
    <t>defender</t>
  </si>
  <si>
    <t>kapkan</t>
  </si>
  <si>
    <t>aruni</t>
  </si>
  <si>
    <t>rook</t>
  </si>
  <si>
    <t>echo</t>
  </si>
  <si>
    <t>castle</t>
  </si>
  <si>
    <t>fenrir</t>
  </si>
  <si>
    <t>tubarao</t>
  </si>
  <si>
    <t>wamai</t>
  </si>
  <si>
    <t>doc</t>
  </si>
  <si>
    <t>valkyrie</t>
  </si>
  <si>
    <t>hs_percent</t>
  </si>
  <si>
    <t>tachanka</t>
  </si>
  <si>
    <t>kaid</t>
  </si>
  <si>
    <t>bandit</t>
  </si>
  <si>
    <t>vigil</t>
  </si>
  <si>
    <t>caveira</t>
  </si>
  <si>
    <t>thorn</t>
  </si>
  <si>
    <t>mira</t>
  </si>
  <si>
    <t>jager</t>
  </si>
  <si>
    <t>attacker</t>
  </si>
  <si>
    <t>buck</t>
  </si>
  <si>
    <t>thatcher</t>
  </si>
  <si>
    <t>ash</t>
  </si>
  <si>
    <t>maverick</t>
  </si>
  <si>
    <t>zofia</t>
  </si>
  <si>
    <t>ram</t>
  </si>
  <si>
    <t>dokkaebi</t>
  </si>
  <si>
    <t>brava</t>
  </si>
  <si>
    <t>rauora</t>
  </si>
  <si>
    <t>osa</t>
  </si>
  <si>
    <t>nomad</t>
  </si>
  <si>
    <t>zero</t>
  </si>
  <si>
    <t>fuze</t>
  </si>
  <si>
    <t>striker</t>
  </si>
  <si>
    <t>capitao</t>
  </si>
  <si>
    <t>ying</t>
  </si>
  <si>
    <t>thermite</t>
  </si>
  <si>
    <t>snake</t>
  </si>
  <si>
    <t>jackal</t>
  </si>
  <si>
    <t>iq</t>
  </si>
  <si>
    <t>blitz</t>
  </si>
  <si>
    <t>sens</t>
  </si>
  <si>
    <t>grim</t>
  </si>
  <si>
    <t>alibi</t>
  </si>
  <si>
    <t>maestro</t>
  </si>
  <si>
    <t>ela</t>
  </si>
  <si>
    <t>oryx</t>
  </si>
  <si>
    <t>pulse</t>
  </si>
  <si>
    <t>thunderbird</t>
  </si>
  <si>
    <t>goyo</t>
  </si>
  <si>
    <t>mute</t>
  </si>
  <si>
    <t>melusi</t>
  </si>
  <si>
    <t>frost</t>
  </si>
  <si>
    <t>azami</t>
  </si>
  <si>
    <t>clash</t>
  </si>
  <si>
    <t>sentry</t>
  </si>
  <si>
    <t>ace</t>
  </si>
  <si>
    <t>amaru</t>
  </si>
  <si>
    <t>deimos</t>
  </si>
  <si>
    <t>kali</t>
  </si>
  <si>
    <t>twitch</t>
  </si>
  <si>
    <t>hibana</t>
  </si>
  <si>
    <t>gridlock</t>
  </si>
  <si>
    <t>blackbeard</t>
  </si>
  <si>
    <t>montagne</t>
  </si>
  <si>
    <t>glaz</t>
  </si>
  <si>
    <t>denari</t>
  </si>
  <si>
    <t>skopos</t>
  </si>
  <si>
    <t>warden</t>
  </si>
  <si>
    <t xml:space="preserve">thermite </t>
  </si>
  <si>
    <t>sledge</t>
  </si>
  <si>
    <t>smoke</t>
  </si>
  <si>
    <t>lesion</t>
  </si>
  <si>
    <t>lion</t>
  </si>
  <si>
    <t>finka</t>
  </si>
  <si>
    <t>mozzie</t>
  </si>
  <si>
    <t>nokk</t>
  </si>
  <si>
    <t>psn</t>
  </si>
  <si>
    <t>map</t>
  </si>
  <si>
    <t>lossess</t>
  </si>
  <si>
    <t>atk_win_percent</t>
  </si>
  <si>
    <t>def_win_percent</t>
  </si>
  <si>
    <t>matches</t>
  </si>
  <si>
    <t>hereford</t>
  </si>
  <si>
    <t>Chalet</t>
  </si>
  <si>
    <t>Nighthaven Labs</t>
  </si>
  <si>
    <t>Oregon</t>
  </si>
  <si>
    <t>Consulate</t>
  </si>
  <si>
    <t>Bank</t>
  </si>
  <si>
    <t>Fortress</t>
  </si>
  <si>
    <t>Kafe Dostoyevsky</t>
  </si>
  <si>
    <t>Lair</t>
  </si>
  <si>
    <t>Border</t>
  </si>
  <si>
    <t>Outback</t>
  </si>
  <si>
    <t>Villa</t>
  </si>
  <si>
    <t>Theme Park</t>
  </si>
  <si>
    <t>Kanal</t>
  </si>
  <si>
    <t>Skyscraper</t>
  </si>
  <si>
    <t>Emerald Plains</t>
  </si>
  <si>
    <t>Favela</t>
  </si>
  <si>
    <t>Stadium Alpha</t>
  </si>
  <si>
    <t>Tower</t>
  </si>
  <si>
    <t>Yacht</t>
  </si>
  <si>
    <t>Stadium Bravo</t>
  </si>
  <si>
    <t>House</t>
  </si>
  <si>
    <t>Presidential Plane</t>
  </si>
  <si>
    <t>Calypso Casino</t>
  </si>
  <si>
    <t>Clubhouse</t>
  </si>
  <si>
    <t>Coastline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</si>
</sst>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0" fontId="0" fillId="0" borderId="0" xfId="0" applyNumberFormat="1"/>
    <xf numFmtId="0" fontId="0" fillId="0" borderId="1" xfId="0" applyFont="1" applyBorder="1"/>
  </cellXfs>
  <cellStyles count="1">
    <cellStyle name="Normal" xfId="0" builtinId="0"/>
  </cellStyles>
  <dxfs count="6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F7FA928-BB4F-9643-B280-B623F625CD44}" name="Table4" displayName="Table4" ref="B4:N78" totalsRowShown="0">
  <autoFilter ref="B4:N78" xr:uid="{8F7FA928-BB4F-9643-B280-B623F625CD44}"/>
  <sortState xmlns:xlrd2="http://schemas.microsoft.com/office/spreadsheetml/2017/richdata2" ref="B5:N78">
    <sortCondition ref="C4:C78"/>
  </sortState>
  <tableColumns count="13">
    <tableColumn id="1" xr3:uid="{4880362E-DC7A-B64F-A0F8-889478F1015F}" name="operator_type"/>
    <tableColumn id="2" xr3:uid="{2DFCC95D-C342-804E-B84C-B31D2540C2F0}" name="operator_ID"/>
    <tableColumn id="3" xr3:uid="{0CFB6DBB-09B1-7C42-B12D-4A91AEA09446}" name="rounds_played"/>
    <tableColumn id="4" xr3:uid="{D44A50CC-BBA2-E440-8052-B74C0A0BC14F}" name="win_percent" dataDxfId="5"/>
    <tableColumn id="5" xr3:uid="{50A4CF34-7EA1-374D-8046-EFA242BB7F07}" name="kd" dataDxfId="4"/>
    <tableColumn id="6" xr3:uid="{9C217538-DF96-1B42-93FA-379EB6593765}" name="hs_percent" dataDxfId="3"/>
    <tableColumn id="7" xr3:uid="{9DA87E81-B38A-BB4B-BC8C-AE99D229ADCD}" name="wins"/>
    <tableColumn id="8" xr3:uid="{D985A562-4069-234E-8724-9BD51F457C66}" name="losses"/>
    <tableColumn id="9" xr3:uid="{7A12BA08-15A8-8F4D-973C-C9411DE13F99}" name="kills"/>
    <tableColumn id="10" xr3:uid="{D16969CB-5F17-804A-BD02-8018C99A0FD3}" name="deaths"/>
    <tableColumn id="11" xr3:uid="{4DD11740-98D9-BF4A-BBB1-1A7A713DDD76}" name="assists"/>
    <tableColumn id="12" xr3:uid="{060C3DA6-CF41-F848-9FBA-A72410368853}" name="aces"/>
    <tableColumn id="13" xr3:uid="{46BEF064-09F9-D047-AFB4-EBC925C01278}" name="t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4BB61EE-3978-154F-9B60-135D17783012}" name="Table5" displayName="Table5" ref="P4:AB78" totalsRowShown="0">
  <autoFilter ref="P4:AB78" xr:uid="{A4BB61EE-3978-154F-9B60-135D17783012}"/>
  <sortState xmlns:xlrd2="http://schemas.microsoft.com/office/spreadsheetml/2017/richdata2" ref="P5:AB78">
    <sortCondition ref="Q4:Q78"/>
  </sortState>
  <tableColumns count="13">
    <tableColumn id="1" xr3:uid="{281BAA98-403D-2647-9C33-8C067A2F70EC}" name="operator_type"/>
    <tableColumn id="2" xr3:uid="{E503062E-2C2E-AB4C-8517-EF8DA0D4C7A7}" name="operator_ID"/>
    <tableColumn id="3" xr3:uid="{491EDE3F-D58F-3F48-8A58-ACF189A574F1}" name="rounds_played"/>
    <tableColumn id="4" xr3:uid="{EE691386-D1AE-5646-955C-A84CD8ADF9FF}" name="win_percent" dataDxfId="2"/>
    <tableColumn id="5" xr3:uid="{B83E5973-0D6B-9148-8067-DC9EE82D517C}" name="kd" dataDxfId="1"/>
    <tableColumn id="6" xr3:uid="{2DCB6C12-9B75-7443-8FAB-442ADB6E1290}" name="hs_percent" dataDxfId="0"/>
    <tableColumn id="7" xr3:uid="{C48EE6D9-1DF2-8E48-A3E4-F25D0AF15634}" name="wins"/>
    <tableColumn id="8" xr3:uid="{8AF9DBD1-9E97-414F-B8A9-3568F6D33D02}" name="losses"/>
    <tableColumn id="9" xr3:uid="{0286AE97-216C-7E40-8CB2-D2339628A503}" name="kills"/>
    <tableColumn id="10" xr3:uid="{726E1972-BC93-E746-AF3E-3FF5011890EF}" name="deaths"/>
    <tableColumn id="11" xr3:uid="{57CF29C4-EA71-284A-A9EA-862E2F981415}" name="assists"/>
    <tableColumn id="12" xr3:uid="{EFF9EE85-1864-1445-B220-B9C5BFD56ED2}" name="aces"/>
    <tableColumn id="13" xr3:uid="{4D4D04EB-F44F-C144-9C6C-31419394B430}" name="t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AFB9-952C-DC41-9791-30D17BC83D4A}">
  <dimension ref="A1:L75"/>
  <sheetViews>
    <sheetView tabSelected="1" workbookViewId="0">
      <selection activeCell="O11" sqref="O11"/>
    </sheetView>
  </sheetViews>
  <sheetFormatPr baseColWidth="10" defaultRowHeight="16" x14ac:dyDescent="0.2"/>
  <cols>
    <col min="3" max="3" width="16" customWidth="1"/>
  </cols>
  <sheetData>
    <row r="1" spans="1:12" x14ac:dyDescent="0.2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32</v>
      </c>
      <c r="B2" t="s">
        <v>69</v>
      </c>
      <c r="C2">
        <v>89</v>
      </c>
      <c r="D2" s="2">
        <v>0.4044943820224719</v>
      </c>
      <c r="E2" s="2">
        <v>0.8571428571428571</v>
      </c>
      <c r="F2">
        <v>36</v>
      </c>
      <c r="G2">
        <v>53</v>
      </c>
      <c r="H2">
        <v>54</v>
      </c>
      <c r="I2">
        <v>63</v>
      </c>
      <c r="J2">
        <v>25</v>
      </c>
      <c r="K2">
        <v>0</v>
      </c>
      <c r="L2">
        <v>0</v>
      </c>
    </row>
    <row r="3" spans="1:12" x14ac:dyDescent="0.2">
      <c r="A3" t="s">
        <v>12</v>
      </c>
      <c r="B3" t="s">
        <v>56</v>
      </c>
      <c r="C3">
        <v>71</v>
      </c>
      <c r="D3" s="2">
        <v>0.38028169014084506</v>
      </c>
      <c r="E3" s="2">
        <v>0.74576271186440679</v>
      </c>
      <c r="F3">
        <v>27</v>
      </c>
      <c r="G3">
        <v>44</v>
      </c>
      <c r="H3">
        <v>44</v>
      </c>
      <c r="I3">
        <v>59</v>
      </c>
      <c r="J3">
        <v>14</v>
      </c>
      <c r="K3">
        <v>0</v>
      </c>
      <c r="L3">
        <v>0</v>
      </c>
    </row>
    <row r="4" spans="1:12" x14ac:dyDescent="0.2">
      <c r="A4" t="s">
        <v>32</v>
      </c>
      <c r="B4" t="s">
        <v>70</v>
      </c>
      <c r="C4">
        <v>42</v>
      </c>
      <c r="D4" s="2">
        <v>0.66666666666666663</v>
      </c>
      <c r="E4" s="2">
        <v>0.77142857142857146</v>
      </c>
      <c r="F4">
        <v>28</v>
      </c>
      <c r="G4">
        <v>14</v>
      </c>
      <c r="H4">
        <v>27</v>
      </c>
      <c r="I4">
        <v>35</v>
      </c>
      <c r="J4">
        <v>18</v>
      </c>
      <c r="K4">
        <v>0</v>
      </c>
      <c r="L4">
        <v>0</v>
      </c>
    </row>
    <row r="5" spans="1:12" x14ac:dyDescent="0.2">
      <c r="A5" t="s">
        <v>12</v>
      </c>
      <c r="B5" t="s">
        <v>14</v>
      </c>
      <c r="C5">
        <v>542</v>
      </c>
      <c r="D5" s="2">
        <v>0.56642066420664205</v>
      </c>
      <c r="E5" s="2">
        <v>1.3543543543543544</v>
      </c>
      <c r="F5">
        <v>307</v>
      </c>
      <c r="G5">
        <v>235</v>
      </c>
      <c r="H5">
        <v>451</v>
      </c>
      <c r="I5">
        <v>333</v>
      </c>
      <c r="J5">
        <v>137</v>
      </c>
      <c r="K5">
        <v>0</v>
      </c>
      <c r="L5">
        <v>3</v>
      </c>
    </row>
    <row r="6" spans="1:12" x14ac:dyDescent="0.2">
      <c r="A6" t="s">
        <v>32</v>
      </c>
      <c r="B6" t="s">
        <v>35</v>
      </c>
      <c r="C6">
        <v>1013</v>
      </c>
      <c r="D6" s="2">
        <v>0.46001974333662388</v>
      </c>
      <c r="E6" s="2">
        <v>1.1802816901408451</v>
      </c>
      <c r="F6">
        <v>466</v>
      </c>
      <c r="G6">
        <v>547</v>
      </c>
      <c r="H6">
        <v>838</v>
      </c>
      <c r="I6">
        <v>710</v>
      </c>
      <c r="J6">
        <v>226</v>
      </c>
      <c r="K6">
        <v>1</v>
      </c>
      <c r="L6">
        <v>5</v>
      </c>
    </row>
    <row r="7" spans="1:12" x14ac:dyDescent="0.2">
      <c r="A7" t="s">
        <v>12</v>
      </c>
      <c r="B7" t="s">
        <v>66</v>
      </c>
      <c r="C7">
        <v>3</v>
      </c>
      <c r="D7" s="2">
        <v>0.66666666666666663</v>
      </c>
      <c r="E7" s="2">
        <v>1.5</v>
      </c>
      <c r="F7">
        <v>2</v>
      </c>
      <c r="G7">
        <v>1</v>
      </c>
      <c r="H7">
        <v>3</v>
      </c>
      <c r="I7">
        <v>2</v>
      </c>
      <c r="J7">
        <v>0</v>
      </c>
      <c r="K7">
        <v>0</v>
      </c>
      <c r="L7">
        <v>0</v>
      </c>
    </row>
    <row r="8" spans="1:12" x14ac:dyDescent="0.2">
      <c r="A8" t="s">
        <v>12</v>
      </c>
      <c r="B8" t="s">
        <v>26</v>
      </c>
      <c r="C8">
        <v>74</v>
      </c>
      <c r="D8" s="2">
        <v>0.5</v>
      </c>
      <c r="E8" s="2">
        <v>0.68518518518518523</v>
      </c>
      <c r="F8">
        <v>37</v>
      </c>
      <c r="G8">
        <v>37</v>
      </c>
      <c r="H8">
        <v>37</v>
      </c>
      <c r="I8">
        <v>54</v>
      </c>
      <c r="J8">
        <v>21</v>
      </c>
      <c r="K8">
        <v>0</v>
      </c>
      <c r="L8">
        <v>0</v>
      </c>
    </row>
    <row r="9" spans="1:12" x14ac:dyDescent="0.2">
      <c r="A9" t="s">
        <v>32</v>
      </c>
      <c r="B9" t="s">
        <v>76</v>
      </c>
      <c r="C9">
        <v>3</v>
      </c>
      <c r="D9" s="2">
        <v>0.66666666666666663</v>
      </c>
      <c r="E9" s="2">
        <v>0.5</v>
      </c>
      <c r="F9">
        <v>2</v>
      </c>
      <c r="G9">
        <v>1</v>
      </c>
      <c r="H9">
        <v>1</v>
      </c>
      <c r="I9">
        <v>2</v>
      </c>
      <c r="J9">
        <v>0</v>
      </c>
      <c r="K9">
        <v>0</v>
      </c>
      <c r="L9">
        <v>0</v>
      </c>
    </row>
    <row r="10" spans="1:12" x14ac:dyDescent="0.2">
      <c r="A10" t="s">
        <v>32</v>
      </c>
      <c r="B10" t="s">
        <v>53</v>
      </c>
      <c r="C10">
        <v>11</v>
      </c>
      <c r="D10" s="2">
        <v>0.45454545454545453</v>
      </c>
      <c r="E10" s="2">
        <v>0.25</v>
      </c>
      <c r="F10">
        <v>5</v>
      </c>
      <c r="G10">
        <v>6</v>
      </c>
      <c r="H10">
        <v>2</v>
      </c>
      <c r="I10">
        <v>8</v>
      </c>
      <c r="J10">
        <v>1</v>
      </c>
      <c r="K10">
        <v>0</v>
      </c>
      <c r="L10">
        <v>0</v>
      </c>
    </row>
    <row r="11" spans="1:12" x14ac:dyDescent="0.2">
      <c r="A11" t="s">
        <v>32</v>
      </c>
      <c r="B11" t="s">
        <v>40</v>
      </c>
      <c r="C11">
        <v>422</v>
      </c>
      <c r="D11" s="2">
        <v>0.49289099526066349</v>
      </c>
      <c r="E11" s="2">
        <v>1.0361990950226245</v>
      </c>
      <c r="F11">
        <v>208</v>
      </c>
      <c r="G11">
        <v>214</v>
      </c>
      <c r="H11">
        <v>229</v>
      </c>
      <c r="I11">
        <v>221</v>
      </c>
      <c r="J11">
        <v>67</v>
      </c>
      <c r="K11">
        <v>0</v>
      </c>
      <c r="L11">
        <v>4</v>
      </c>
    </row>
    <row r="12" spans="1:12" x14ac:dyDescent="0.2">
      <c r="A12" t="s">
        <v>32</v>
      </c>
      <c r="B12" t="s">
        <v>33</v>
      </c>
      <c r="C12">
        <v>429</v>
      </c>
      <c r="D12" s="2">
        <v>0.45454545454545453</v>
      </c>
      <c r="E12" s="2">
        <v>0.93470790378006874</v>
      </c>
      <c r="F12">
        <v>195</v>
      </c>
      <c r="G12">
        <v>234</v>
      </c>
      <c r="H12">
        <v>272</v>
      </c>
      <c r="I12">
        <v>291</v>
      </c>
      <c r="J12">
        <v>82</v>
      </c>
      <c r="K12">
        <v>0</v>
      </c>
      <c r="L12">
        <v>1</v>
      </c>
    </row>
    <row r="13" spans="1:12" x14ac:dyDescent="0.2">
      <c r="A13" t="s">
        <v>32</v>
      </c>
      <c r="B13" t="s">
        <v>47</v>
      </c>
      <c r="C13">
        <v>14</v>
      </c>
      <c r="D13" s="2">
        <v>0.2857142857142857</v>
      </c>
      <c r="E13" s="2">
        <v>0.18181818181818182</v>
      </c>
      <c r="F13">
        <v>4</v>
      </c>
      <c r="G13">
        <v>10</v>
      </c>
      <c r="H13">
        <v>2</v>
      </c>
      <c r="I13">
        <v>11</v>
      </c>
      <c r="J13">
        <v>3</v>
      </c>
      <c r="K13">
        <v>0</v>
      </c>
      <c r="L13">
        <v>0</v>
      </c>
    </row>
    <row r="14" spans="1:12" x14ac:dyDescent="0.2">
      <c r="A14" t="s">
        <v>12</v>
      </c>
      <c r="B14" t="s">
        <v>17</v>
      </c>
      <c r="C14">
        <v>125</v>
      </c>
      <c r="D14" s="2">
        <v>0.56000000000000005</v>
      </c>
      <c r="E14" s="2">
        <v>1.025974025974026</v>
      </c>
      <c r="F14">
        <v>70</v>
      </c>
      <c r="G14">
        <v>55</v>
      </c>
      <c r="H14">
        <v>79</v>
      </c>
      <c r="I14">
        <v>77</v>
      </c>
      <c r="J14">
        <v>32</v>
      </c>
      <c r="K14">
        <v>0</v>
      </c>
      <c r="L14">
        <v>0</v>
      </c>
    </row>
    <row r="15" spans="1:12" x14ac:dyDescent="0.2">
      <c r="A15" t="s">
        <v>12</v>
      </c>
      <c r="B15" t="s">
        <v>28</v>
      </c>
      <c r="C15">
        <v>57</v>
      </c>
      <c r="D15" s="2">
        <v>0.52631578947368418</v>
      </c>
      <c r="E15" s="2">
        <v>0.8666666666666667</v>
      </c>
      <c r="F15">
        <v>30</v>
      </c>
      <c r="G15">
        <v>27</v>
      </c>
      <c r="H15">
        <v>39</v>
      </c>
      <c r="I15">
        <v>45</v>
      </c>
      <c r="J15">
        <v>14</v>
      </c>
      <c r="K15">
        <v>0</v>
      </c>
      <c r="L15">
        <v>0</v>
      </c>
    </row>
    <row r="16" spans="1:12" x14ac:dyDescent="0.2">
      <c r="A16" t="s">
        <v>12</v>
      </c>
      <c r="B16" t="s">
        <v>67</v>
      </c>
      <c r="C16">
        <v>2</v>
      </c>
      <c r="D16" s="2">
        <v>0.5</v>
      </c>
      <c r="E16" s="2">
        <v>0</v>
      </c>
      <c r="F16">
        <v>1</v>
      </c>
      <c r="G16">
        <v>1</v>
      </c>
      <c r="H16">
        <v>0</v>
      </c>
      <c r="I16">
        <v>1</v>
      </c>
      <c r="J16">
        <v>2</v>
      </c>
      <c r="K16">
        <v>0</v>
      </c>
      <c r="L16">
        <v>0</v>
      </c>
    </row>
    <row r="17" spans="1:12" x14ac:dyDescent="0.2">
      <c r="A17" t="s">
        <v>32</v>
      </c>
      <c r="B17" t="s">
        <v>71</v>
      </c>
      <c r="C17">
        <v>16</v>
      </c>
      <c r="D17" s="2">
        <v>0.25</v>
      </c>
      <c r="E17" s="2">
        <v>0.2</v>
      </c>
      <c r="F17">
        <v>4</v>
      </c>
      <c r="G17">
        <v>12</v>
      </c>
      <c r="H17">
        <v>3</v>
      </c>
      <c r="I17">
        <v>15</v>
      </c>
      <c r="J17">
        <v>5</v>
      </c>
      <c r="K17">
        <v>0</v>
      </c>
      <c r="L17">
        <v>0</v>
      </c>
    </row>
    <row r="18" spans="1:12" x14ac:dyDescent="0.2">
      <c r="A18" t="s">
        <v>12</v>
      </c>
      <c r="B18" t="s">
        <v>79</v>
      </c>
      <c r="C18">
        <v>10</v>
      </c>
      <c r="D18" s="2">
        <v>0.6</v>
      </c>
      <c r="E18" s="2">
        <v>0.5714285714285714</v>
      </c>
      <c r="F18">
        <v>6</v>
      </c>
      <c r="G18">
        <v>4</v>
      </c>
      <c r="H18">
        <v>4</v>
      </c>
      <c r="I18">
        <v>7</v>
      </c>
      <c r="J18">
        <v>4</v>
      </c>
      <c r="K18">
        <v>0</v>
      </c>
      <c r="L18">
        <v>0</v>
      </c>
    </row>
    <row r="19" spans="1:12" x14ac:dyDescent="0.2">
      <c r="A19" t="s">
        <v>12</v>
      </c>
      <c r="B19" t="s">
        <v>21</v>
      </c>
      <c r="C19">
        <v>34</v>
      </c>
      <c r="D19" s="2">
        <v>0.44117647058823528</v>
      </c>
      <c r="E19" s="2">
        <v>0.77777777777777779</v>
      </c>
      <c r="F19">
        <v>15</v>
      </c>
      <c r="G19">
        <v>19</v>
      </c>
      <c r="H19">
        <v>21</v>
      </c>
      <c r="I19">
        <v>27</v>
      </c>
      <c r="J19">
        <v>8</v>
      </c>
      <c r="K19">
        <v>0</v>
      </c>
      <c r="L19">
        <v>0</v>
      </c>
    </row>
    <row r="20" spans="1:12" x14ac:dyDescent="0.2">
      <c r="A20" t="s">
        <v>32</v>
      </c>
      <c r="B20" t="s">
        <v>39</v>
      </c>
      <c r="C20">
        <v>313</v>
      </c>
      <c r="D20" s="2">
        <v>0.44089456869009586</v>
      </c>
      <c r="E20" s="2">
        <v>0.90952380952380951</v>
      </c>
      <c r="F20">
        <v>138</v>
      </c>
      <c r="G20">
        <v>175</v>
      </c>
      <c r="H20">
        <v>191</v>
      </c>
      <c r="I20">
        <v>210</v>
      </c>
      <c r="J20">
        <v>76</v>
      </c>
      <c r="K20">
        <v>0</v>
      </c>
      <c r="L20">
        <v>1</v>
      </c>
    </row>
    <row r="21" spans="1:12" x14ac:dyDescent="0.2">
      <c r="A21" t="s">
        <v>12</v>
      </c>
      <c r="B21" t="s">
        <v>16</v>
      </c>
      <c r="C21">
        <v>211</v>
      </c>
      <c r="D21" s="2">
        <v>0.59241706161137442</v>
      </c>
      <c r="E21" s="2">
        <v>0.65384615384615385</v>
      </c>
      <c r="F21">
        <v>125</v>
      </c>
      <c r="G21">
        <v>86</v>
      </c>
      <c r="H21">
        <v>68</v>
      </c>
      <c r="I21">
        <v>104</v>
      </c>
      <c r="J21">
        <v>15</v>
      </c>
      <c r="K21">
        <v>0</v>
      </c>
      <c r="L21">
        <v>0</v>
      </c>
    </row>
    <row r="22" spans="1:12" x14ac:dyDescent="0.2">
      <c r="A22" t="s">
        <v>12</v>
      </c>
      <c r="B22" t="s">
        <v>58</v>
      </c>
      <c r="C22">
        <v>53</v>
      </c>
      <c r="D22" s="2">
        <v>0.64150943396226412</v>
      </c>
      <c r="E22" s="2">
        <v>1.0666666666666667</v>
      </c>
      <c r="F22">
        <v>34</v>
      </c>
      <c r="G22">
        <v>19</v>
      </c>
      <c r="H22">
        <v>32</v>
      </c>
      <c r="I22">
        <v>30</v>
      </c>
      <c r="J22">
        <v>8</v>
      </c>
      <c r="K22">
        <v>0</v>
      </c>
      <c r="L22">
        <v>0</v>
      </c>
    </row>
    <row r="23" spans="1:12" x14ac:dyDescent="0.2">
      <c r="A23" t="s">
        <v>12</v>
      </c>
      <c r="B23" t="s">
        <v>18</v>
      </c>
      <c r="C23">
        <v>139</v>
      </c>
      <c r="D23" s="2">
        <v>0.61151079136690645</v>
      </c>
      <c r="E23" s="2">
        <v>1.0352941176470589</v>
      </c>
      <c r="F23">
        <v>85</v>
      </c>
      <c r="G23">
        <v>54</v>
      </c>
      <c r="H23">
        <v>88</v>
      </c>
      <c r="I23">
        <v>85</v>
      </c>
      <c r="J23">
        <v>26</v>
      </c>
      <c r="K23">
        <v>0</v>
      </c>
      <c r="L23">
        <v>0</v>
      </c>
    </row>
    <row r="24" spans="1:12" x14ac:dyDescent="0.2">
      <c r="A24" t="s">
        <v>32</v>
      </c>
      <c r="B24" t="s">
        <v>87</v>
      </c>
      <c r="C24">
        <v>0</v>
      </c>
      <c r="D24" s="2"/>
      <c r="E24" s="2"/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2">
      <c r="A25" t="s">
        <v>12</v>
      </c>
      <c r="B25" t="s">
        <v>65</v>
      </c>
      <c r="C25">
        <v>3</v>
      </c>
      <c r="D25" s="2">
        <v>0.33333333333333331</v>
      </c>
      <c r="E25" s="2">
        <v>2</v>
      </c>
      <c r="F25">
        <v>1</v>
      </c>
      <c r="G25">
        <v>2</v>
      </c>
      <c r="H25">
        <v>4</v>
      </c>
      <c r="I25">
        <v>2</v>
      </c>
      <c r="J25">
        <v>0</v>
      </c>
      <c r="K25">
        <v>0</v>
      </c>
      <c r="L25">
        <v>0</v>
      </c>
    </row>
    <row r="26" spans="1:12" x14ac:dyDescent="0.2">
      <c r="A26" t="s">
        <v>32</v>
      </c>
      <c r="B26" t="s">
        <v>45</v>
      </c>
      <c r="C26">
        <v>61</v>
      </c>
      <c r="D26" s="2">
        <v>0.44262295081967212</v>
      </c>
      <c r="E26" s="2">
        <v>1.0810810810810811</v>
      </c>
      <c r="F26">
        <v>27</v>
      </c>
      <c r="G26">
        <v>34</v>
      </c>
      <c r="H26">
        <v>40</v>
      </c>
      <c r="I26">
        <v>37</v>
      </c>
      <c r="J26">
        <v>17</v>
      </c>
      <c r="K26">
        <v>0</v>
      </c>
      <c r="L26">
        <v>2</v>
      </c>
    </row>
    <row r="27" spans="1:12" x14ac:dyDescent="0.2">
      <c r="A27" t="s">
        <v>32</v>
      </c>
      <c r="B27" t="s">
        <v>78</v>
      </c>
      <c r="C27">
        <v>5</v>
      </c>
      <c r="D27" s="2">
        <v>0.2</v>
      </c>
      <c r="E27" s="2">
        <v>0.4</v>
      </c>
      <c r="F27">
        <v>1</v>
      </c>
      <c r="G27">
        <v>4</v>
      </c>
      <c r="H27">
        <v>2</v>
      </c>
      <c r="I27">
        <v>5</v>
      </c>
      <c r="J27">
        <v>1</v>
      </c>
      <c r="K27">
        <v>0</v>
      </c>
      <c r="L27">
        <v>0</v>
      </c>
    </row>
    <row r="28" spans="1:12" x14ac:dyDescent="0.2">
      <c r="A28" t="s">
        <v>12</v>
      </c>
      <c r="B28" t="s">
        <v>62</v>
      </c>
      <c r="C28">
        <v>18</v>
      </c>
      <c r="D28" s="2">
        <v>0.44444444444444442</v>
      </c>
      <c r="E28" s="2">
        <v>0.84615384615384615</v>
      </c>
      <c r="F28">
        <v>8</v>
      </c>
      <c r="G28">
        <v>10</v>
      </c>
      <c r="H28">
        <v>11</v>
      </c>
      <c r="I28">
        <v>13</v>
      </c>
      <c r="J28">
        <v>4</v>
      </c>
      <c r="K28">
        <v>0</v>
      </c>
      <c r="L28">
        <v>0</v>
      </c>
    </row>
    <row r="29" spans="1:12" x14ac:dyDescent="0.2">
      <c r="A29" t="s">
        <v>32</v>
      </c>
      <c r="B29" t="s">
        <v>75</v>
      </c>
      <c r="C29">
        <v>2</v>
      </c>
      <c r="D29" s="2">
        <v>0</v>
      </c>
      <c r="E29" s="2">
        <v>0</v>
      </c>
      <c r="F29">
        <v>0</v>
      </c>
      <c r="G29">
        <v>2</v>
      </c>
      <c r="H29">
        <v>0</v>
      </c>
      <c r="I29">
        <v>2</v>
      </c>
      <c r="J29">
        <v>2</v>
      </c>
      <c r="K29">
        <v>0</v>
      </c>
      <c r="L29">
        <v>0</v>
      </c>
    </row>
    <row r="30" spans="1:12" x14ac:dyDescent="0.2">
      <c r="A30" t="s">
        <v>32</v>
      </c>
      <c r="B30" t="s">
        <v>55</v>
      </c>
      <c r="C30">
        <v>2</v>
      </c>
      <c r="D30" s="2">
        <v>1</v>
      </c>
      <c r="E30" s="2">
        <v>0</v>
      </c>
      <c r="F30">
        <v>2</v>
      </c>
      <c r="G30">
        <v>0</v>
      </c>
      <c r="H30">
        <v>0</v>
      </c>
      <c r="I30">
        <v>2</v>
      </c>
      <c r="J30">
        <v>0</v>
      </c>
      <c r="K30">
        <v>0</v>
      </c>
      <c r="L30">
        <v>0</v>
      </c>
    </row>
    <row r="31" spans="1:12" x14ac:dyDescent="0.2">
      <c r="A31" t="s">
        <v>32</v>
      </c>
      <c r="B31" t="s">
        <v>74</v>
      </c>
      <c r="C31">
        <v>4</v>
      </c>
      <c r="D31" s="2">
        <v>0.5</v>
      </c>
      <c r="E31" s="2">
        <v>1</v>
      </c>
      <c r="F31">
        <v>2</v>
      </c>
      <c r="G31">
        <v>2</v>
      </c>
      <c r="H31">
        <v>3</v>
      </c>
      <c r="I31">
        <v>3</v>
      </c>
      <c r="J31">
        <v>1</v>
      </c>
      <c r="K31">
        <v>0</v>
      </c>
      <c r="L31">
        <v>0</v>
      </c>
    </row>
    <row r="32" spans="1:12" x14ac:dyDescent="0.2">
      <c r="A32" t="s">
        <v>32</v>
      </c>
      <c r="B32" t="s">
        <v>52</v>
      </c>
      <c r="C32">
        <v>11</v>
      </c>
      <c r="D32" s="2">
        <v>0.27272727272727271</v>
      </c>
      <c r="E32" s="2">
        <v>0.625</v>
      </c>
      <c r="F32">
        <v>3</v>
      </c>
      <c r="G32">
        <v>8</v>
      </c>
      <c r="H32">
        <v>5</v>
      </c>
      <c r="I32">
        <v>8</v>
      </c>
      <c r="J32">
        <v>1</v>
      </c>
      <c r="K32">
        <v>0</v>
      </c>
      <c r="L32">
        <v>0</v>
      </c>
    </row>
    <row r="33" spans="1:12" x14ac:dyDescent="0.2">
      <c r="A33" t="s">
        <v>32</v>
      </c>
      <c r="B33" t="s">
        <v>51</v>
      </c>
      <c r="C33">
        <v>61</v>
      </c>
      <c r="D33" s="2">
        <v>0.42622950819672129</v>
      </c>
      <c r="E33" s="2">
        <v>0.86046511627906974</v>
      </c>
      <c r="F33">
        <v>26</v>
      </c>
      <c r="G33">
        <v>35</v>
      </c>
      <c r="H33">
        <v>37</v>
      </c>
      <c r="I33">
        <v>43</v>
      </c>
      <c r="J33">
        <v>7</v>
      </c>
      <c r="K33">
        <v>0</v>
      </c>
      <c r="L33">
        <v>1</v>
      </c>
    </row>
    <row r="34" spans="1:12" x14ac:dyDescent="0.2">
      <c r="A34" t="s">
        <v>12</v>
      </c>
      <c r="B34" t="s">
        <v>31</v>
      </c>
      <c r="C34">
        <v>6</v>
      </c>
      <c r="D34" s="2">
        <v>0.16666666666666666</v>
      </c>
      <c r="E34" s="2">
        <v>0.16666666666666666</v>
      </c>
      <c r="F34">
        <v>1</v>
      </c>
      <c r="G34">
        <v>5</v>
      </c>
      <c r="H34">
        <v>1</v>
      </c>
      <c r="I34">
        <v>6</v>
      </c>
      <c r="J34">
        <v>1</v>
      </c>
      <c r="K34">
        <v>0</v>
      </c>
      <c r="L34">
        <v>0</v>
      </c>
    </row>
    <row r="35" spans="1:12" x14ac:dyDescent="0.2">
      <c r="A35" t="s">
        <v>12</v>
      </c>
      <c r="B35" t="s">
        <v>25</v>
      </c>
      <c r="C35">
        <v>94</v>
      </c>
      <c r="D35" s="2">
        <v>0.53191489361702127</v>
      </c>
      <c r="E35" s="2">
        <v>1.0666666666666667</v>
      </c>
      <c r="F35">
        <v>50</v>
      </c>
      <c r="G35">
        <v>44</v>
      </c>
      <c r="H35">
        <v>64</v>
      </c>
      <c r="I35">
        <v>60</v>
      </c>
      <c r="J35">
        <v>22</v>
      </c>
      <c r="K35">
        <v>0</v>
      </c>
      <c r="L35">
        <v>1</v>
      </c>
    </row>
    <row r="36" spans="1:12" x14ac:dyDescent="0.2">
      <c r="A36" t="s">
        <v>32</v>
      </c>
      <c r="B36" t="s">
        <v>72</v>
      </c>
      <c r="C36">
        <v>12</v>
      </c>
      <c r="D36" s="2">
        <v>0.58333333333333337</v>
      </c>
      <c r="E36" s="2">
        <v>0.33333333333333331</v>
      </c>
      <c r="F36">
        <v>7</v>
      </c>
      <c r="G36">
        <v>5</v>
      </c>
      <c r="H36">
        <v>3</v>
      </c>
      <c r="I36">
        <v>9</v>
      </c>
      <c r="J36">
        <v>1</v>
      </c>
      <c r="K36">
        <v>0</v>
      </c>
      <c r="L36">
        <v>0</v>
      </c>
    </row>
    <row r="37" spans="1:12" x14ac:dyDescent="0.2">
      <c r="A37" t="s">
        <v>12</v>
      </c>
      <c r="B37" t="s">
        <v>13</v>
      </c>
      <c r="C37">
        <v>1843</v>
      </c>
      <c r="D37" s="2">
        <v>0.59848073792729251</v>
      </c>
      <c r="E37" s="2">
        <v>1.4010327022375215</v>
      </c>
      <c r="F37">
        <v>1103</v>
      </c>
      <c r="G37">
        <v>740</v>
      </c>
      <c r="H37">
        <v>1628</v>
      </c>
      <c r="I37">
        <v>1162</v>
      </c>
      <c r="J37">
        <v>864</v>
      </c>
      <c r="K37">
        <v>4</v>
      </c>
      <c r="L37">
        <v>8</v>
      </c>
    </row>
    <row r="38" spans="1:12" x14ac:dyDescent="0.2">
      <c r="A38" t="s">
        <v>12</v>
      </c>
      <c r="B38" t="s">
        <v>85</v>
      </c>
      <c r="C38">
        <v>0</v>
      </c>
      <c r="D38" s="2"/>
      <c r="E38" s="2"/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2">
      <c r="A39" t="s">
        <v>32</v>
      </c>
      <c r="B39" t="s">
        <v>86</v>
      </c>
      <c r="C39">
        <v>0</v>
      </c>
      <c r="D39" s="2"/>
      <c r="E39" s="2"/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t="s">
        <v>12</v>
      </c>
      <c r="B40" t="s">
        <v>57</v>
      </c>
      <c r="C40">
        <v>60</v>
      </c>
      <c r="D40" s="2">
        <v>0.53333333333333333</v>
      </c>
      <c r="E40" s="2">
        <v>0.68421052631578949</v>
      </c>
      <c r="F40">
        <v>32</v>
      </c>
      <c r="G40">
        <v>28</v>
      </c>
      <c r="H40">
        <v>26</v>
      </c>
      <c r="I40">
        <v>38</v>
      </c>
      <c r="J40">
        <v>18</v>
      </c>
      <c r="K40">
        <v>0</v>
      </c>
      <c r="L40">
        <v>0</v>
      </c>
    </row>
    <row r="41" spans="1:12" x14ac:dyDescent="0.2">
      <c r="A41" t="s">
        <v>32</v>
      </c>
      <c r="B41" t="s">
        <v>36</v>
      </c>
      <c r="C41">
        <v>612</v>
      </c>
      <c r="D41" s="2">
        <v>0.44771241830065361</v>
      </c>
      <c r="E41" s="2">
        <v>1.0068807339449541</v>
      </c>
      <c r="F41">
        <v>274</v>
      </c>
      <c r="G41">
        <v>338</v>
      </c>
      <c r="H41">
        <v>439</v>
      </c>
      <c r="I41">
        <v>436</v>
      </c>
      <c r="J41">
        <v>114</v>
      </c>
      <c r="K41">
        <v>2</v>
      </c>
      <c r="L41">
        <v>4</v>
      </c>
    </row>
    <row r="42" spans="1:12" x14ac:dyDescent="0.2">
      <c r="A42" t="s">
        <v>12</v>
      </c>
      <c r="B42" t="s">
        <v>64</v>
      </c>
      <c r="C42">
        <v>6</v>
      </c>
      <c r="D42" s="2">
        <v>0.5</v>
      </c>
      <c r="E42" s="2">
        <v>1.2</v>
      </c>
      <c r="F42">
        <v>3</v>
      </c>
      <c r="G42">
        <v>3</v>
      </c>
      <c r="H42">
        <v>6</v>
      </c>
      <c r="I42">
        <v>5</v>
      </c>
      <c r="J42">
        <v>2</v>
      </c>
      <c r="K42">
        <v>0</v>
      </c>
      <c r="L42">
        <v>0</v>
      </c>
    </row>
    <row r="43" spans="1:12" x14ac:dyDescent="0.2">
      <c r="A43" t="s">
        <v>12</v>
      </c>
      <c r="B43" t="s">
        <v>30</v>
      </c>
      <c r="C43">
        <v>9</v>
      </c>
      <c r="D43" s="2">
        <v>0.66666666666666663</v>
      </c>
      <c r="E43" s="2">
        <v>0.33333333333333331</v>
      </c>
      <c r="F43">
        <v>6</v>
      </c>
      <c r="G43">
        <v>3</v>
      </c>
      <c r="H43">
        <v>2</v>
      </c>
      <c r="I43">
        <v>6</v>
      </c>
      <c r="J43">
        <v>1</v>
      </c>
      <c r="K43">
        <v>0</v>
      </c>
      <c r="L43">
        <v>0</v>
      </c>
    </row>
    <row r="44" spans="1:12" x14ac:dyDescent="0.2">
      <c r="A44" t="s">
        <v>32</v>
      </c>
      <c r="B44" t="s">
        <v>77</v>
      </c>
      <c r="C44">
        <v>2</v>
      </c>
      <c r="D44" s="2">
        <v>0.5</v>
      </c>
      <c r="E44" s="2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0</v>
      </c>
      <c r="L44">
        <v>0</v>
      </c>
    </row>
    <row r="45" spans="1:12" x14ac:dyDescent="0.2">
      <c r="A45" t="s">
        <v>12</v>
      </c>
      <c r="B45" t="s">
        <v>88</v>
      </c>
      <c r="C45">
        <v>0</v>
      </c>
      <c r="D45" s="2"/>
      <c r="E45" s="2"/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2">
      <c r="A46" t="s">
        <v>12</v>
      </c>
      <c r="B46" t="s">
        <v>63</v>
      </c>
      <c r="C46">
        <v>15</v>
      </c>
      <c r="D46" s="2">
        <v>0.33333333333333331</v>
      </c>
      <c r="E46" s="2">
        <v>1.5555555555555556</v>
      </c>
      <c r="F46">
        <v>5</v>
      </c>
      <c r="G46">
        <v>10</v>
      </c>
      <c r="H46">
        <v>14</v>
      </c>
      <c r="I46">
        <v>9</v>
      </c>
      <c r="J46">
        <v>2</v>
      </c>
      <c r="K46">
        <v>0</v>
      </c>
      <c r="L46">
        <v>0</v>
      </c>
    </row>
    <row r="47" spans="1:12" x14ac:dyDescent="0.2">
      <c r="A47" t="s">
        <v>32</v>
      </c>
      <c r="B47" t="s">
        <v>89</v>
      </c>
      <c r="C47">
        <v>0</v>
      </c>
      <c r="D47" s="2"/>
      <c r="E47" s="2"/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2">
      <c r="A48" t="s">
        <v>32</v>
      </c>
      <c r="B48" t="s">
        <v>43</v>
      </c>
      <c r="C48">
        <v>73</v>
      </c>
      <c r="D48" s="2">
        <v>0.49315068493150682</v>
      </c>
      <c r="E48" s="2">
        <v>1.3</v>
      </c>
      <c r="F48">
        <v>36</v>
      </c>
      <c r="G48">
        <v>37</v>
      </c>
      <c r="H48">
        <v>52</v>
      </c>
      <c r="I48">
        <v>40</v>
      </c>
      <c r="J48">
        <v>6</v>
      </c>
      <c r="K48">
        <v>0</v>
      </c>
      <c r="L48">
        <v>0</v>
      </c>
    </row>
    <row r="49" spans="1:12" x14ac:dyDescent="0.2">
      <c r="A49" t="s">
        <v>12</v>
      </c>
      <c r="B49" t="s">
        <v>59</v>
      </c>
      <c r="C49">
        <v>17</v>
      </c>
      <c r="D49" s="2">
        <v>0.47058823529411764</v>
      </c>
      <c r="E49" s="2">
        <v>0.76923076923076927</v>
      </c>
      <c r="F49">
        <v>8</v>
      </c>
      <c r="G49">
        <v>9</v>
      </c>
      <c r="H49">
        <v>10</v>
      </c>
      <c r="I49">
        <v>13</v>
      </c>
      <c r="J49">
        <v>4</v>
      </c>
      <c r="K49">
        <v>0</v>
      </c>
      <c r="L49">
        <v>0</v>
      </c>
    </row>
    <row r="50" spans="1:12" x14ac:dyDescent="0.2">
      <c r="A50" t="s">
        <v>32</v>
      </c>
      <c r="B50" t="s">
        <v>42</v>
      </c>
      <c r="C50">
        <v>170</v>
      </c>
      <c r="D50" s="2">
        <v>0.47058823529411764</v>
      </c>
      <c r="E50" s="2">
        <v>1.0462962962962963</v>
      </c>
      <c r="F50">
        <v>80</v>
      </c>
      <c r="G50">
        <v>90</v>
      </c>
      <c r="H50">
        <v>113</v>
      </c>
      <c r="I50">
        <v>108</v>
      </c>
      <c r="J50">
        <v>32</v>
      </c>
      <c r="K50">
        <v>0</v>
      </c>
      <c r="L50">
        <v>1</v>
      </c>
    </row>
    <row r="51" spans="1:12" x14ac:dyDescent="0.2">
      <c r="A51" t="s">
        <v>12</v>
      </c>
      <c r="B51" t="s">
        <v>60</v>
      </c>
      <c r="C51">
        <v>17</v>
      </c>
      <c r="D51" s="2">
        <v>0.29411764705882354</v>
      </c>
      <c r="E51" s="2">
        <v>1</v>
      </c>
      <c r="F51">
        <v>5</v>
      </c>
      <c r="G51">
        <v>12</v>
      </c>
      <c r="H51">
        <v>12</v>
      </c>
      <c r="I51">
        <v>12</v>
      </c>
      <c r="J51">
        <v>4</v>
      </c>
      <c r="K51">
        <v>0</v>
      </c>
      <c r="L51">
        <v>0</v>
      </c>
    </row>
    <row r="52" spans="1:12" x14ac:dyDescent="0.2">
      <c r="A52" t="s">
        <v>32</v>
      </c>
      <c r="B52" t="s">
        <v>38</v>
      </c>
      <c r="C52">
        <v>156</v>
      </c>
      <c r="D52" s="2">
        <v>0.44230769230769229</v>
      </c>
      <c r="E52" s="2">
        <v>1.0188679245283019</v>
      </c>
      <c r="F52">
        <v>69</v>
      </c>
      <c r="G52">
        <v>87</v>
      </c>
      <c r="H52">
        <v>108</v>
      </c>
      <c r="I52">
        <v>106</v>
      </c>
      <c r="J52">
        <v>38</v>
      </c>
      <c r="K52">
        <v>0</v>
      </c>
      <c r="L52">
        <v>0</v>
      </c>
    </row>
    <row r="53" spans="1:12" x14ac:dyDescent="0.2">
      <c r="A53" t="s">
        <v>32</v>
      </c>
      <c r="B53" t="s">
        <v>41</v>
      </c>
      <c r="C53">
        <v>135</v>
      </c>
      <c r="D53" s="2">
        <v>0.3925925925925926</v>
      </c>
      <c r="E53" s="2">
        <v>0.989247311827957</v>
      </c>
      <c r="F53">
        <v>53</v>
      </c>
      <c r="G53">
        <v>82</v>
      </c>
      <c r="H53">
        <v>92</v>
      </c>
      <c r="I53">
        <v>93</v>
      </c>
      <c r="J53">
        <v>27</v>
      </c>
      <c r="K53">
        <v>0</v>
      </c>
      <c r="L53">
        <v>1</v>
      </c>
    </row>
    <row r="54" spans="1:12" x14ac:dyDescent="0.2">
      <c r="A54" t="s">
        <v>12</v>
      </c>
      <c r="B54" t="s">
        <v>15</v>
      </c>
      <c r="C54">
        <v>551</v>
      </c>
      <c r="D54" s="2">
        <v>0.63520871143375679</v>
      </c>
      <c r="E54" s="2">
        <v>0.967741935483871</v>
      </c>
      <c r="F54">
        <v>350</v>
      </c>
      <c r="G54">
        <v>201</v>
      </c>
      <c r="H54">
        <v>330</v>
      </c>
      <c r="I54">
        <v>341</v>
      </c>
      <c r="J54">
        <v>143</v>
      </c>
      <c r="K54">
        <v>1</v>
      </c>
      <c r="L54">
        <v>5</v>
      </c>
    </row>
    <row r="55" spans="1:12" x14ac:dyDescent="0.2">
      <c r="A55" t="s">
        <v>32</v>
      </c>
      <c r="B55" t="s">
        <v>54</v>
      </c>
      <c r="C55">
        <v>8</v>
      </c>
      <c r="D55" s="2">
        <v>0.25</v>
      </c>
      <c r="E55" s="2">
        <v>0.25</v>
      </c>
      <c r="F55">
        <v>2</v>
      </c>
      <c r="G55">
        <v>6</v>
      </c>
      <c r="H55">
        <v>2</v>
      </c>
      <c r="I55">
        <v>8</v>
      </c>
      <c r="J55">
        <v>3</v>
      </c>
      <c r="K55">
        <v>0</v>
      </c>
      <c r="L55">
        <v>0</v>
      </c>
    </row>
    <row r="56" spans="1:12" x14ac:dyDescent="0.2">
      <c r="A56" t="s">
        <v>12</v>
      </c>
      <c r="B56" t="s">
        <v>68</v>
      </c>
      <c r="C56">
        <v>3</v>
      </c>
      <c r="D56" s="2">
        <v>0.33333333333333331</v>
      </c>
      <c r="E56" s="2">
        <v>1.5</v>
      </c>
      <c r="F56">
        <v>1</v>
      </c>
      <c r="G56">
        <v>2</v>
      </c>
      <c r="H56">
        <v>3</v>
      </c>
      <c r="I56">
        <v>2</v>
      </c>
      <c r="J56">
        <v>0</v>
      </c>
      <c r="K56">
        <v>0</v>
      </c>
      <c r="L56">
        <v>0</v>
      </c>
    </row>
    <row r="57" spans="1:12" x14ac:dyDescent="0.2">
      <c r="A57" t="s">
        <v>12</v>
      </c>
      <c r="B57" t="s">
        <v>80</v>
      </c>
      <c r="C57">
        <v>5</v>
      </c>
      <c r="D57" s="2">
        <v>0.2</v>
      </c>
      <c r="E57" s="2">
        <v>1.5</v>
      </c>
      <c r="F57">
        <v>1</v>
      </c>
      <c r="G57">
        <v>4</v>
      </c>
      <c r="H57">
        <v>6</v>
      </c>
      <c r="I57">
        <v>4</v>
      </c>
      <c r="J57">
        <v>2</v>
      </c>
      <c r="K57">
        <v>0</v>
      </c>
      <c r="L57">
        <v>0</v>
      </c>
    </row>
    <row r="58" spans="1:12" x14ac:dyDescent="0.2">
      <c r="A58" t="s">
        <v>32</v>
      </c>
      <c r="B58" t="s">
        <v>83</v>
      </c>
      <c r="C58">
        <v>0</v>
      </c>
      <c r="D58" s="2"/>
      <c r="E58" s="2"/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</row>
    <row r="59" spans="1:12" x14ac:dyDescent="0.2">
      <c r="A59" t="s">
        <v>12</v>
      </c>
      <c r="B59" t="s">
        <v>84</v>
      </c>
      <c r="C59">
        <v>0</v>
      </c>
      <c r="D59" s="2"/>
      <c r="E59" s="2"/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2">
      <c r="A60" t="s">
        <v>32</v>
      </c>
      <c r="B60" t="s">
        <v>50</v>
      </c>
      <c r="C60">
        <v>20</v>
      </c>
      <c r="D60" s="2">
        <v>0.45</v>
      </c>
      <c r="E60" s="2">
        <v>0.91666666666666663</v>
      </c>
      <c r="F60">
        <v>9</v>
      </c>
      <c r="G60">
        <v>11</v>
      </c>
      <c r="H60">
        <v>11</v>
      </c>
      <c r="I60">
        <v>12</v>
      </c>
      <c r="J60">
        <v>3</v>
      </c>
      <c r="K60">
        <v>0</v>
      </c>
      <c r="L60">
        <v>0</v>
      </c>
    </row>
    <row r="61" spans="1:12" x14ac:dyDescent="0.2">
      <c r="A61" t="s">
        <v>32</v>
      </c>
      <c r="B61" t="s">
        <v>46</v>
      </c>
      <c r="C61">
        <v>58</v>
      </c>
      <c r="D61" s="2">
        <v>0.55172413793103448</v>
      </c>
      <c r="E61" s="2">
        <v>1.5483870967741935</v>
      </c>
      <c r="F61">
        <v>32</v>
      </c>
      <c r="G61">
        <v>26</v>
      </c>
      <c r="H61">
        <v>48</v>
      </c>
      <c r="I61">
        <v>31</v>
      </c>
      <c r="J61">
        <v>4</v>
      </c>
      <c r="K61">
        <v>0</v>
      </c>
      <c r="L61">
        <v>0</v>
      </c>
    </row>
    <row r="62" spans="1:12" x14ac:dyDescent="0.2">
      <c r="A62" t="s">
        <v>12</v>
      </c>
      <c r="B62" t="s">
        <v>24</v>
      </c>
      <c r="C62">
        <v>64</v>
      </c>
      <c r="D62" s="2">
        <v>0.5</v>
      </c>
      <c r="E62" s="2">
        <v>0.82222222222222219</v>
      </c>
      <c r="F62">
        <v>32</v>
      </c>
      <c r="G62">
        <v>32</v>
      </c>
      <c r="H62">
        <v>37</v>
      </c>
      <c r="I62">
        <v>45</v>
      </c>
      <c r="J62">
        <v>16</v>
      </c>
      <c r="K62">
        <v>0</v>
      </c>
      <c r="L62">
        <v>2</v>
      </c>
    </row>
    <row r="63" spans="1:12" x14ac:dyDescent="0.2">
      <c r="A63" t="s">
        <v>32</v>
      </c>
      <c r="B63" t="s">
        <v>34</v>
      </c>
      <c r="C63">
        <v>251</v>
      </c>
      <c r="D63" s="2">
        <v>0.45816733067729082</v>
      </c>
      <c r="E63" s="2">
        <v>1.3059701492537314</v>
      </c>
      <c r="F63">
        <v>115</v>
      </c>
      <c r="G63">
        <v>136</v>
      </c>
      <c r="H63">
        <v>175</v>
      </c>
      <c r="I63">
        <v>134</v>
      </c>
      <c r="J63">
        <v>47</v>
      </c>
      <c r="K63">
        <v>0</v>
      </c>
      <c r="L63">
        <v>1</v>
      </c>
    </row>
    <row r="64" spans="1:12" x14ac:dyDescent="0.2">
      <c r="A64" t="s">
        <v>32</v>
      </c>
      <c r="B64" t="s">
        <v>82</v>
      </c>
      <c r="C64">
        <v>25</v>
      </c>
      <c r="D64" s="2">
        <v>0.36</v>
      </c>
      <c r="E64" s="2">
        <v>0.7142857142857143</v>
      </c>
      <c r="F64">
        <v>9</v>
      </c>
      <c r="G64">
        <v>16</v>
      </c>
      <c r="H64">
        <v>15</v>
      </c>
      <c r="I64">
        <v>21</v>
      </c>
      <c r="J64">
        <v>4</v>
      </c>
      <c r="K64">
        <v>0</v>
      </c>
      <c r="L64">
        <v>0</v>
      </c>
    </row>
    <row r="65" spans="1:12" x14ac:dyDescent="0.2">
      <c r="A65" t="s">
        <v>12</v>
      </c>
      <c r="B65" t="s">
        <v>29</v>
      </c>
      <c r="C65">
        <v>76</v>
      </c>
      <c r="D65" s="2">
        <v>0.57894736842105265</v>
      </c>
      <c r="E65" s="2">
        <v>1.0344827586206897</v>
      </c>
      <c r="F65">
        <v>44</v>
      </c>
      <c r="G65">
        <v>32</v>
      </c>
      <c r="H65">
        <v>60</v>
      </c>
      <c r="I65">
        <v>58</v>
      </c>
      <c r="J65">
        <v>35</v>
      </c>
      <c r="K65">
        <v>0</v>
      </c>
      <c r="L65">
        <v>0</v>
      </c>
    </row>
    <row r="66" spans="1:12" x14ac:dyDescent="0.2">
      <c r="A66" t="s">
        <v>12</v>
      </c>
      <c r="B66" t="s">
        <v>61</v>
      </c>
      <c r="C66">
        <v>17</v>
      </c>
      <c r="D66" s="2">
        <v>0.41176470588235292</v>
      </c>
      <c r="E66" s="2">
        <v>0.66666666666666663</v>
      </c>
      <c r="F66">
        <v>7</v>
      </c>
      <c r="G66">
        <v>10</v>
      </c>
      <c r="H66">
        <v>8</v>
      </c>
      <c r="I66">
        <v>12</v>
      </c>
      <c r="J66">
        <v>1</v>
      </c>
      <c r="K66">
        <v>0</v>
      </c>
      <c r="L66">
        <v>0</v>
      </c>
    </row>
    <row r="67" spans="1:12" x14ac:dyDescent="0.2">
      <c r="A67" t="s">
        <v>12</v>
      </c>
      <c r="B67" t="s">
        <v>19</v>
      </c>
      <c r="C67">
        <v>121</v>
      </c>
      <c r="D67" s="2">
        <v>0.6198347107438017</v>
      </c>
      <c r="E67" s="2">
        <v>1.2428571428571429</v>
      </c>
      <c r="F67">
        <v>75</v>
      </c>
      <c r="G67">
        <v>46</v>
      </c>
      <c r="H67">
        <v>87</v>
      </c>
      <c r="I67">
        <v>70</v>
      </c>
      <c r="J67">
        <v>21</v>
      </c>
      <c r="K67">
        <v>0</v>
      </c>
      <c r="L67">
        <v>0</v>
      </c>
    </row>
    <row r="68" spans="1:12" x14ac:dyDescent="0.2">
      <c r="A68" t="s">
        <v>32</v>
      </c>
      <c r="B68" t="s">
        <v>73</v>
      </c>
      <c r="C68">
        <v>11</v>
      </c>
      <c r="D68" s="2">
        <v>0.45454545454545453</v>
      </c>
      <c r="E68" s="2">
        <v>0.375</v>
      </c>
      <c r="F68">
        <v>5</v>
      </c>
      <c r="G68">
        <v>6</v>
      </c>
      <c r="H68">
        <v>3</v>
      </c>
      <c r="I68">
        <v>8</v>
      </c>
      <c r="J68">
        <v>5</v>
      </c>
      <c r="K68">
        <v>0</v>
      </c>
      <c r="L68">
        <v>0</v>
      </c>
    </row>
    <row r="69" spans="1:12" x14ac:dyDescent="0.2">
      <c r="A69" t="s">
        <v>12</v>
      </c>
      <c r="B69" t="s">
        <v>22</v>
      </c>
      <c r="C69">
        <v>124</v>
      </c>
      <c r="D69" s="2">
        <v>0.54838709677419351</v>
      </c>
      <c r="E69" s="2">
        <v>0.94736842105263153</v>
      </c>
      <c r="F69">
        <v>68</v>
      </c>
      <c r="G69">
        <v>56</v>
      </c>
      <c r="H69">
        <v>72</v>
      </c>
      <c r="I69">
        <v>76</v>
      </c>
      <c r="J69">
        <v>37</v>
      </c>
      <c r="K69">
        <v>0</v>
      </c>
      <c r="L69">
        <v>0</v>
      </c>
    </row>
    <row r="70" spans="1:12" x14ac:dyDescent="0.2">
      <c r="A70" t="s">
        <v>12</v>
      </c>
      <c r="B70" t="s">
        <v>27</v>
      </c>
      <c r="C70">
        <v>224</v>
      </c>
      <c r="D70" s="2">
        <v>0.5580357142857143</v>
      </c>
      <c r="E70" s="2">
        <v>1.0979020979020979</v>
      </c>
      <c r="F70">
        <v>125</v>
      </c>
      <c r="G70">
        <v>99</v>
      </c>
      <c r="H70">
        <v>157</v>
      </c>
      <c r="I70">
        <v>143</v>
      </c>
      <c r="J70">
        <v>46</v>
      </c>
      <c r="K70">
        <v>0</v>
      </c>
      <c r="L70">
        <v>2</v>
      </c>
    </row>
    <row r="71" spans="1:12" x14ac:dyDescent="0.2">
      <c r="A71" t="s">
        <v>12</v>
      </c>
      <c r="B71" t="s">
        <v>20</v>
      </c>
      <c r="C71">
        <v>205</v>
      </c>
      <c r="D71" s="2">
        <v>0.52195121951219514</v>
      </c>
      <c r="E71" s="2">
        <v>0.82481751824817517</v>
      </c>
      <c r="F71">
        <v>107</v>
      </c>
      <c r="G71">
        <v>98</v>
      </c>
      <c r="H71">
        <v>113</v>
      </c>
      <c r="I71">
        <v>137</v>
      </c>
      <c r="J71">
        <v>48</v>
      </c>
      <c r="K71">
        <v>0</v>
      </c>
      <c r="L71">
        <v>2</v>
      </c>
    </row>
    <row r="72" spans="1:12" x14ac:dyDescent="0.2">
      <c r="A72" t="s">
        <v>12</v>
      </c>
      <c r="B72" t="s">
        <v>81</v>
      </c>
      <c r="C72">
        <v>1</v>
      </c>
      <c r="D72" s="2">
        <v>1</v>
      </c>
      <c r="E72" s="2"/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 x14ac:dyDescent="0.2">
      <c r="A73" t="s">
        <v>32</v>
      </c>
      <c r="B73" t="s">
        <v>48</v>
      </c>
      <c r="C73">
        <v>164</v>
      </c>
      <c r="D73" s="2">
        <v>0.51219512195121952</v>
      </c>
      <c r="E73" s="2">
        <v>0.90322580645161288</v>
      </c>
      <c r="F73">
        <v>84</v>
      </c>
      <c r="G73">
        <v>80</v>
      </c>
      <c r="H73">
        <v>112</v>
      </c>
      <c r="I73">
        <v>124</v>
      </c>
      <c r="J73">
        <v>39</v>
      </c>
      <c r="K73">
        <v>0</v>
      </c>
      <c r="L73">
        <v>0</v>
      </c>
    </row>
    <row r="74" spans="1:12" x14ac:dyDescent="0.2">
      <c r="A74" t="s">
        <v>32</v>
      </c>
      <c r="B74" t="s">
        <v>44</v>
      </c>
      <c r="C74">
        <v>120</v>
      </c>
      <c r="D74" s="2">
        <v>0.41666666666666669</v>
      </c>
      <c r="E74" s="2">
        <v>0.79012345679012341</v>
      </c>
      <c r="F74">
        <v>50</v>
      </c>
      <c r="G74">
        <v>70</v>
      </c>
      <c r="H74">
        <v>64</v>
      </c>
      <c r="I74">
        <v>81</v>
      </c>
      <c r="J74">
        <v>11</v>
      </c>
      <c r="K74">
        <v>0</v>
      </c>
      <c r="L74">
        <v>0</v>
      </c>
    </row>
    <row r="75" spans="1:12" x14ac:dyDescent="0.2">
      <c r="A75" t="s">
        <v>32</v>
      </c>
      <c r="B75" t="s">
        <v>37</v>
      </c>
      <c r="C75">
        <v>503</v>
      </c>
      <c r="D75" s="2">
        <v>0.50497017892644136</v>
      </c>
      <c r="E75" s="2">
        <v>1.0028985507246377</v>
      </c>
      <c r="F75">
        <v>254</v>
      </c>
      <c r="G75">
        <v>249</v>
      </c>
      <c r="H75">
        <v>346</v>
      </c>
      <c r="I75">
        <v>345</v>
      </c>
      <c r="J75">
        <v>115</v>
      </c>
      <c r="K75">
        <v>0</v>
      </c>
      <c r="L75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8AE48-2588-C545-A379-9717404284B8}">
  <dimension ref="A1:I27"/>
  <sheetViews>
    <sheetView workbookViewId="0">
      <selection activeCell="D38" sqref="D38"/>
    </sheetView>
  </sheetViews>
  <sheetFormatPr baseColWidth="10" defaultRowHeight="16" x14ac:dyDescent="0.2"/>
  <sheetData>
    <row r="1" spans="1:9" x14ac:dyDescent="0.2">
      <c r="A1" t="s">
        <v>91</v>
      </c>
      <c r="B1" t="s">
        <v>95</v>
      </c>
      <c r="C1" t="s">
        <v>1</v>
      </c>
      <c r="D1" t="s">
        <v>5</v>
      </c>
      <c r="E1" t="s">
        <v>92</v>
      </c>
      <c r="F1" t="s">
        <v>2</v>
      </c>
      <c r="G1" t="s">
        <v>93</v>
      </c>
      <c r="H1" t="s">
        <v>94</v>
      </c>
    </row>
    <row r="2" spans="1:9" x14ac:dyDescent="0.2">
      <c r="A2" t="s">
        <v>97</v>
      </c>
      <c r="B2">
        <v>37</v>
      </c>
      <c r="C2" s="2">
        <v>0.56799999999999995</v>
      </c>
      <c r="D2">
        <v>21</v>
      </c>
      <c r="E2">
        <v>15</v>
      </c>
      <c r="F2">
        <v>1.33</v>
      </c>
      <c r="G2" s="2">
        <v>0.60699999999999998</v>
      </c>
      <c r="H2" s="2">
        <v>0.55200000000000005</v>
      </c>
      <c r="I2" s="4"/>
    </row>
    <row r="3" spans="1:9" x14ac:dyDescent="0.2">
      <c r="A3" t="s">
        <v>98</v>
      </c>
      <c r="B3">
        <v>35</v>
      </c>
      <c r="C3" s="2">
        <v>0.629</v>
      </c>
      <c r="D3">
        <v>22</v>
      </c>
      <c r="E3">
        <v>13</v>
      </c>
      <c r="F3">
        <v>1.34</v>
      </c>
      <c r="G3" s="2">
        <v>0.42699999999999999</v>
      </c>
      <c r="H3" s="2">
        <v>0.68400000000000005</v>
      </c>
      <c r="I3" s="4"/>
    </row>
    <row r="4" spans="1:9" x14ac:dyDescent="0.2">
      <c r="A4" t="s">
        <v>107</v>
      </c>
      <c r="B4">
        <v>27</v>
      </c>
      <c r="C4" s="2">
        <v>0.40699999999999997</v>
      </c>
      <c r="D4">
        <v>11</v>
      </c>
      <c r="E4">
        <v>13</v>
      </c>
      <c r="F4">
        <v>1.04</v>
      </c>
      <c r="G4" s="2">
        <v>0.40600000000000003</v>
      </c>
      <c r="H4" s="2">
        <v>0.55400000000000005</v>
      </c>
      <c r="I4" s="4"/>
    </row>
    <row r="5" spans="1:9" x14ac:dyDescent="0.2">
      <c r="A5" t="s">
        <v>99</v>
      </c>
      <c r="B5">
        <v>33</v>
      </c>
      <c r="C5" s="2">
        <v>0.48499999999999999</v>
      </c>
      <c r="D5">
        <v>16</v>
      </c>
      <c r="E5">
        <v>17</v>
      </c>
      <c r="F5">
        <v>1.46</v>
      </c>
      <c r="G5" s="2">
        <v>0.40899999999999997</v>
      </c>
      <c r="H5" s="2">
        <v>0.64</v>
      </c>
      <c r="I5" s="4"/>
    </row>
    <row r="6" spans="1:9" x14ac:dyDescent="0.2">
      <c r="A6" t="s">
        <v>120</v>
      </c>
      <c r="B6">
        <v>41</v>
      </c>
      <c r="C6" s="2">
        <v>0.56100000000000005</v>
      </c>
      <c r="D6">
        <v>23</v>
      </c>
      <c r="E6">
        <v>16</v>
      </c>
      <c r="F6">
        <v>1.26</v>
      </c>
      <c r="G6" s="2">
        <v>0.45600000000000002</v>
      </c>
      <c r="H6" s="2">
        <v>0.625</v>
      </c>
      <c r="I6" s="4"/>
    </row>
    <row r="7" spans="1:9" x14ac:dyDescent="0.2">
      <c r="A7" t="s">
        <v>121</v>
      </c>
      <c r="B7">
        <v>43</v>
      </c>
      <c r="C7" s="2">
        <v>0.442</v>
      </c>
      <c r="D7">
        <v>19</v>
      </c>
      <c r="E7">
        <v>21</v>
      </c>
      <c r="F7">
        <v>1.1599999999999999</v>
      </c>
      <c r="G7" s="2">
        <v>0.441</v>
      </c>
      <c r="H7" s="2">
        <v>0.51</v>
      </c>
      <c r="I7" s="4"/>
    </row>
    <row r="8" spans="1:9" x14ac:dyDescent="0.2">
      <c r="A8" t="s">
        <v>105</v>
      </c>
      <c r="B8">
        <v>28</v>
      </c>
      <c r="C8" s="2">
        <v>0.35699999999999998</v>
      </c>
      <c r="D8">
        <v>10</v>
      </c>
      <c r="E8">
        <v>18</v>
      </c>
      <c r="F8">
        <v>1.04</v>
      </c>
      <c r="G8" s="2">
        <v>0.44800000000000001</v>
      </c>
      <c r="H8" s="2">
        <v>0.41099999999999998</v>
      </c>
      <c r="I8" s="4"/>
    </row>
    <row r="9" spans="1:9" x14ac:dyDescent="0.2">
      <c r="A9" t="s">
        <v>100</v>
      </c>
      <c r="B9">
        <v>32</v>
      </c>
      <c r="C9" s="2">
        <v>0.625</v>
      </c>
      <c r="D9">
        <v>20</v>
      </c>
      <c r="E9">
        <v>11</v>
      </c>
      <c r="F9">
        <v>1.38</v>
      </c>
      <c r="G9" s="2">
        <v>0.437</v>
      </c>
      <c r="H9" s="2">
        <v>0.65100000000000002</v>
      </c>
      <c r="I9" s="4"/>
    </row>
    <row r="10" spans="1:9" x14ac:dyDescent="0.2">
      <c r="A10" t="s">
        <v>103</v>
      </c>
      <c r="B10">
        <v>29</v>
      </c>
      <c r="C10" s="2">
        <v>0.51700000000000002</v>
      </c>
      <c r="D10">
        <v>15</v>
      </c>
      <c r="E10">
        <v>13</v>
      </c>
      <c r="F10">
        <v>1.32</v>
      </c>
      <c r="G10" s="2">
        <v>0.442</v>
      </c>
      <c r="H10" s="2">
        <v>0.57699999999999996</v>
      </c>
      <c r="I10" s="4"/>
    </row>
    <row r="11" spans="1:9" x14ac:dyDescent="0.2">
      <c r="A11" t="s">
        <v>101</v>
      </c>
      <c r="B11">
        <v>30</v>
      </c>
      <c r="C11" s="2">
        <v>0.46700000000000003</v>
      </c>
      <c r="D11">
        <v>14</v>
      </c>
      <c r="E11">
        <v>15</v>
      </c>
      <c r="F11">
        <v>1.21</v>
      </c>
      <c r="G11" s="2">
        <v>0.45800000000000002</v>
      </c>
      <c r="H11" s="2">
        <v>0.61399999999999999</v>
      </c>
      <c r="I11" s="4"/>
    </row>
    <row r="12" spans="1:9" x14ac:dyDescent="0.2">
      <c r="A12" t="s">
        <v>109</v>
      </c>
      <c r="B12">
        <v>21</v>
      </c>
      <c r="C12" s="2">
        <v>0.47599999999999998</v>
      </c>
      <c r="D12">
        <v>10</v>
      </c>
      <c r="E12">
        <v>11</v>
      </c>
      <c r="F12">
        <v>1.75</v>
      </c>
      <c r="G12" s="2">
        <v>0.40400000000000003</v>
      </c>
      <c r="H12" s="2">
        <v>0.53100000000000003</v>
      </c>
      <c r="I12" s="4"/>
    </row>
    <row r="13" spans="1:9" x14ac:dyDescent="0.2">
      <c r="A13" t="s">
        <v>104</v>
      </c>
      <c r="B13">
        <v>29</v>
      </c>
      <c r="C13" s="2">
        <v>0.55200000000000005</v>
      </c>
      <c r="D13">
        <v>16</v>
      </c>
      <c r="E13">
        <v>13</v>
      </c>
      <c r="F13">
        <v>1.45</v>
      </c>
      <c r="G13" s="2">
        <v>0.43</v>
      </c>
      <c r="H13" s="2">
        <v>0.61499999999999999</v>
      </c>
      <c r="I13" s="4"/>
    </row>
    <row r="14" spans="1:9" x14ac:dyDescent="0.2">
      <c r="A14" t="s">
        <v>110</v>
      </c>
      <c r="B14">
        <v>21</v>
      </c>
      <c r="C14" s="2">
        <v>0.71399999999999997</v>
      </c>
      <c r="D14">
        <v>15</v>
      </c>
      <c r="E14">
        <v>6</v>
      </c>
      <c r="F14">
        <v>1.69</v>
      </c>
      <c r="G14" s="2">
        <v>0.63</v>
      </c>
      <c r="H14" s="2">
        <v>0.55400000000000005</v>
      </c>
      <c r="I14" s="4"/>
    </row>
    <row r="15" spans="1:9" x14ac:dyDescent="0.2">
      <c r="A15" t="s">
        <v>111</v>
      </c>
      <c r="B15">
        <v>20</v>
      </c>
      <c r="C15" s="2">
        <v>0.6</v>
      </c>
      <c r="D15">
        <v>12</v>
      </c>
      <c r="E15">
        <v>5</v>
      </c>
      <c r="F15">
        <v>1.47</v>
      </c>
      <c r="G15" s="2">
        <v>0.51</v>
      </c>
      <c r="H15" s="2">
        <v>0.61699999999999999</v>
      </c>
      <c r="I15" s="4"/>
    </row>
    <row r="16" spans="1:9" x14ac:dyDescent="0.2">
      <c r="A16" t="s">
        <v>102</v>
      </c>
      <c r="B16">
        <v>29</v>
      </c>
      <c r="C16" s="2">
        <v>0.55200000000000005</v>
      </c>
      <c r="D16">
        <v>16</v>
      </c>
      <c r="E16">
        <v>12</v>
      </c>
      <c r="F16">
        <v>1.45</v>
      </c>
      <c r="G16" s="2">
        <v>0.39</v>
      </c>
      <c r="H16" s="2">
        <v>0.64600000000000002</v>
      </c>
      <c r="I16" s="4"/>
    </row>
    <row r="17" spans="1:9" x14ac:dyDescent="0.2">
      <c r="A17" t="s">
        <v>106</v>
      </c>
      <c r="B17">
        <v>28</v>
      </c>
      <c r="C17" s="2">
        <v>0.57099999999999995</v>
      </c>
      <c r="D17">
        <v>16</v>
      </c>
      <c r="E17">
        <v>12</v>
      </c>
      <c r="F17">
        <v>1.05</v>
      </c>
      <c r="G17" s="2">
        <v>0.46800000000000003</v>
      </c>
      <c r="H17" s="2">
        <v>0.54200000000000004</v>
      </c>
      <c r="I17" s="4"/>
    </row>
    <row r="18" spans="1:9" x14ac:dyDescent="0.2">
      <c r="A18" t="s">
        <v>108</v>
      </c>
      <c r="B18">
        <v>25</v>
      </c>
      <c r="C18" s="2">
        <v>0.52</v>
      </c>
      <c r="D18">
        <v>13</v>
      </c>
      <c r="E18">
        <v>12</v>
      </c>
      <c r="F18">
        <v>1.24</v>
      </c>
      <c r="G18" s="2">
        <v>0.34399999999999997</v>
      </c>
      <c r="H18" s="2">
        <v>0.64700000000000002</v>
      </c>
      <c r="I18" s="4"/>
    </row>
    <row r="19" spans="1:9" x14ac:dyDescent="0.2">
      <c r="A19" t="s">
        <v>112</v>
      </c>
      <c r="B19">
        <v>14</v>
      </c>
      <c r="C19" s="2">
        <v>0.5</v>
      </c>
      <c r="D19">
        <v>7</v>
      </c>
      <c r="E19">
        <v>7</v>
      </c>
      <c r="F19">
        <v>1.22</v>
      </c>
      <c r="G19" s="2">
        <v>0.5</v>
      </c>
      <c r="H19" s="2">
        <v>0.65400000000000003</v>
      </c>
      <c r="I19" s="4"/>
    </row>
    <row r="20" spans="1:9" x14ac:dyDescent="0.2">
      <c r="A20" t="s">
        <v>119</v>
      </c>
      <c r="B20">
        <v>4</v>
      </c>
      <c r="C20" s="2">
        <v>0.25</v>
      </c>
      <c r="D20">
        <v>1</v>
      </c>
      <c r="E20">
        <v>3</v>
      </c>
      <c r="F20">
        <v>1.43</v>
      </c>
      <c r="G20" s="2">
        <v>0.33300000000000002</v>
      </c>
      <c r="H20" s="2">
        <v>0.5</v>
      </c>
      <c r="I20" s="4"/>
    </row>
    <row r="21" spans="1:9" x14ac:dyDescent="0.2">
      <c r="A21" t="s">
        <v>117</v>
      </c>
      <c r="B21">
        <v>10</v>
      </c>
      <c r="C21" s="2">
        <v>0.6</v>
      </c>
      <c r="D21">
        <v>6</v>
      </c>
      <c r="E21">
        <v>4</v>
      </c>
      <c r="F21">
        <v>1.8</v>
      </c>
      <c r="G21" s="2">
        <v>0.63200000000000001</v>
      </c>
      <c r="H21" s="2">
        <v>0.41199999999999998</v>
      </c>
      <c r="I21" s="4"/>
    </row>
    <row r="22" spans="1:9" x14ac:dyDescent="0.2">
      <c r="A22" t="s">
        <v>116</v>
      </c>
      <c r="B22">
        <v>11</v>
      </c>
      <c r="C22" s="2">
        <v>0.45500000000000002</v>
      </c>
      <c r="D22">
        <v>5</v>
      </c>
      <c r="E22">
        <v>5</v>
      </c>
      <c r="F22">
        <v>1.31</v>
      </c>
      <c r="G22" s="2">
        <v>0.47599999999999998</v>
      </c>
      <c r="H22" s="2">
        <v>0.55000000000000004</v>
      </c>
      <c r="I22" s="4"/>
    </row>
    <row r="23" spans="1:9" x14ac:dyDescent="0.2">
      <c r="A23" t="s">
        <v>118</v>
      </c>
      <c r="B23">
        <v>9</v>
      </c>
      <c r="C23" s="2">
        <v>0.55600000000000005</v>
      </c>
      <c r="D23">
        <v>5</v>
      </c>
      <c r="E23">
        <v>4</v>
      </c>
      <c r="F23">
        <v>1.89</v>
      </c>
      <c r="G23" s="2">
        <v>0.5</v>
      </c>
      <c r="H23" s="2">
        <v>0.54500000000000004</v>
      </c>
      <c r="I23" s="4"/>
    </row>
    <row r="24" spans="1:9" x14ac:dyDescent="0.2">
      <c r="A24" t="s">
        <v>113</v>
      </c>
      <c r="B24">
        <v>13</v>
      </c>
      <c r="C24" s="2">
        <v>0.38500000000000001</v>
      </c>
      <c r="D24">
        <v>5</v>
      </c>
      <c r="E24">
        <v>7</v>
      </c>
      <c r="F24">
        <v>1.39</v>
      </c>
      <c r="G24" s="2">
        <v>0.42299999999999999</v>
      </c>
      <c r="H24" s="2">
        <v>0.61499999999999999</v>
      </c>
      <c r="I24" s="4"/>
    </row>
    <row r="25" spans="1:9" x14ac:dyDescent="0.2">
      <c r="A25" t="s">
        <v>114</v>
      </c>
      <c r="B25">
        <v>13</v>
      </c>
      <c r="C25" s="2">
        <v>0.46200000000000002</v>
      </c>
      <c r="D25">
        <v>6</v>
      </c>
      <c r="E25">
        <v>6</v>
      </c>
      <c r="F25">
        <v>1.23</v>
      </c>
      <c r="G25" s="2">
        <v>0.222</v>
      </c>
      <c r="H25" s="2">
        <v>0.65</v>
      </c>
      <c r="I25" s="4"/>
    </row>
    <row r="26" spans="1:9" x14ac:dyDescent="0.2">
      <c r="A26" t="s">
        <v>96</v>
      </c>
      <c r="B26">
        <v>0</v>
      </c>
      <c r="D26">
        <v>0</v>
      </c>
      <c r="E26">
        <v>0</v>
      </c>
    </row>
    <row r="27" spans="1:9" x14ac:dyDescent="0.2">
      <c r="A27" s="5" t="s">
        <v>115</v>
      </c>
      <c r="B27">
        <v>0</v>
      </c>
      <c r="D27">
        <v>0</v>
      </c>
      <c r="E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D62D8-1EEA-D14B-8352-0B06762163B8}">
  <dimension ref="A1:I19"/>
  <sheetViews>
    <sheetView workbookViewId="0">
      <selection activeCell="I32" sqref="I32"/>
    </sheetView>
  </sheetViews>
  <sheetFormatPr baseColWidth="10" defaultRowHeight="16" x14ac:dyDescent="0.2"/>
  <sheetData>
    <row r="1" spans="1:9" x14ac:dyDescent="0.2">
      <c r="A1" t="s">
        <v>91</v>
      </c>
      <c r="B1" t="s">
        <v>95</v>
      </c>
      <c r="C1" t="s">
        <v>1</v>
      </c>
      <c r="D1" t="s">
        <v>5</v>
      </c>
      <c r="E1" t="s">
        <v>92</v>
      </c>
      <c r="F1" t="s">
        <v>2</v>
      </c>
      <c r="G1" t="s">
        <v>93</v>
      </c>
      <c r="H1" t="s">
        <v>94</v>
      </c>
    </row>
    <row r="2" spans="1:9" x14ac:dyDescent="0.2">
      <c r="A2" t="s">
        <v>121</v>
      </c>
      <c r="B2">
        <v>21</v>
      </c>
      <c r="C2" s="2">
        <v>0.47599999999999998</v>
      </c>
      <c r="D2">
        <v>10</v>
      </c>
      <c r="E2">
        <v>11</v>
      </c>
      <c r="F2">
        <v>1.08</v>
      </c>
      <c r="G2" s="2">
        <v>0.48199999999999998</v>
      </c>
      <c r="H2" s="2">
        <v>0.48299999999999998</v>
      </c>
      <c r="I2" s="4"/>
    </row>
    <row r="3" spans="1:9" x14ac:dyDescent="0.2">
      <c r="A3" t="s">
        <v>98</v>
      </c>
      <c r="B3">
        <v>16</v>
      </c>
      <c r="C3" s="2">
        <v>0.5</v>
      </c>
      <c r="D3">
        <v>8</v>
      </c>
      <c r="E3">
        <v>8</v>
      </c>
      <c r="F3">
        <v>1.0900000000000001</v>
      </c>
      <c r="G3" s="2">
        <v>0.42599999999999999</v>
      </c>
      <c r="H3" s="2">
        <v>0.59299999999999997</v>
      </c>
      <c r="I3" s="4"/>
    </row>
    <row r="4" spans="1:9" x14ac:dyDescent="0.2">
      <c r="A4" t="s">
        <v>97</v>
      </c>
      <c r="B4">
        <v>15</v>
      </c>
      <c r="C4" s="2">
        <v>0.6</v>
      </c>
      <c r="D4">
        <v>9</v>
      </c>
      <c r="E4">
        <v>6</v>
      </c>
      <c r="F4">
        <v>1.04</v>
      </c>
      <c r="G4" s="2">
        <v>0.628</v>
      </c>
      <c r="H4" s="2">
        <v>0.56499999999999995</v>
      </c>
      <c r="I4" s="4"/>
    </row>
    <row r="5" spans="1:9" x14ac:dyDescent="0.2">
      <c r="A5" t="s">
        <v>120</v>
      </c>
      <c r="B5">
        <v>15</v>
      </c>
      <c r="C5" s="2">
        <v>0.46700000000000003</v>
      </c>
      <c r="D5">
        <v>7</v>
      </c>
      <c r="E5">
        <v>8</v>
      </c>
      <c r="F5">
        <v>1.02</v>
      </c>
      <c r="G5" s="2">
        <v>0.34699999999999998</v>
      </c>
      <c r="H5" s="2">
        <v>0.59099999999999997</v>
      </c>
      <c r="I5" s="4"/>
    </row>
    <row r="6" spans="1:9" x14ac:dyDescent="0.2">
      <c r="A6" t="s">
        <v>100</v>
      </c>
      <c r="B6">
        <v>15</v>
      </c>
      <c r="C6" s="2">
        <v>0.53300000000000003</v>
      </c>
      <c r="D6">
        <v>8</v>
      </c>
      <c r="E6">
        <v>7</v>
      </c>
      <c r="F6">
        <v>0.95</v>
      </c>
      <c r="G6" s="2">
        <v>0.42899999999999999</v>
      </c>
      <c r="H6" s="2">
        <v>0.56799999999999995</v>
      </c>
      <c r="I6" s="4"/>
    </row>
    <row r="7" spans="1:9" x14ac:dyDescent="0.2">
      <c r="A7" t="s">
        <v>99</v>
      </c>
      <c r="B7">
        <v>15</v>
      </c>
      <c r="C7" s="2">
        <v>0.66700000000000004</v>
      </c>
      <c r="D7">
        <v>10</v>
      </c>
      <c r="E7">
        <v>5</v>
      </c>
      <c r="F7">
        <v>1.43</v>
      </c>
      <c r="G7" s="2">
        <v>0.5</v>
      </c>
      <c r="H7" s="2">
        <v>0.69799999999999995</v>
      </c>
      <c r="I7" s="4"/>
    </row>
    <row r="8" spans="1:9" x14ac:dyDescent="0.2">
      <c r="A8" t="s">
        <v>105</v>
      </c>
      <c r="B8">
        <v>14</v>
      </c>
      <c r="C8" s="2">
        <v>0.28599999999999998</v>
      </c>
      <c r="D8">
        <v>4</v>
      </c>
      <c r="E8">
        <v>10</v>
      </c>
      <c r="F8">
        <v>1</v>
      </c>
      <c r="G8" s="2">
        <v>0.378</v>
      </c>
      <c r="H8" s="2">
        <v>0.439</v>
      </c>
      <c r="I8" s="4"/>
    </row>
    <row r="9" spans="1:9" x14ac:dyDescent="0.2">
      <c r="A9" t="s">
        <v>102</v>
      </c>
      <c r="B9">
        <v>12</v>
      </c>
      <c r="C9" s="2">
        <v>0.83299999999999996</v>
      </c>
      <c r="D9">
        <v>10</v>
      </c>
      <c r="E9">
        <v>2</v>
      </c>
      <c r="F9">
        <v>1.2</v>
      </c>
      <c r="G9" s="2">
        <v>0.439</v>
      </c>
      <c r="H9" s="2">
        <v>0.74399999999999999</v>
      </c>
      <c r="I9" s="4"/>
    </row>
    <row r="10" spans="1:9" x14ac:dyDescent="0.2">
      <c r="A10" t="s">
        <v>101</v>
      </c>
      <c r="B10">
        <v>10</v>
      </c>
      <c r="C10" s="2">
        <v>0.7</v>
      </c>
      <c r="D10">
        <v>7</v>
      </c>
      <c r="E10">
        <v>3</v>
      </c>
      <c r="F10">
        <v>1.1299999999999999</v>
      </c>
      <c r="G10" s="2">
        <v>0.58099999999999996</v>
      </c>
      <c r="H10" s="2">
        <v>0.65400000000000003</v>
      </c>
      <c r="I10" s="4"/>
    </row>
    <row r="11" spans="1:9" x14ac:dyDescent="0.2">
      <c r="A11" t="s">
        <v>103</v>
      </c>
      <c r="B11">
        <v>9</v>
      </c>
      <c r="C11" s="2">
        <v>0.88900000000000001</v>
      </c>
      <c r="D11">
        <v>8</v>
      </c>
      <c r="E11">
        <v>1</v>
      </c>
      <c r="F11">
        <v>1.49</v>
      </c>
      <c r="G11" s="2">
        <v>0.48299999999999998</v>
      </c>
      <c r="H11" s="2">
        <v>0.74199999999999999</v>
      </c>
      <c r="I11" s="4"/>
    </row>
    <row r="12" spans="1:9" x14ac:dyDescent="0.2">
      <c r="A12" t="s">
        <v>111</v>
      </c>
      <c r="B12">
        <v>8</v>
      </c>
      <c r="C12" s="2">
        <v>0.625</v>
      </c>
      <c r="D12">
        <v>5</v>
      </c>
      <c r="E12">
        <v>3</v>
      </c>
      <c r="F12">
        <v>1.47</v>
      </c>
      <c r="G12" s="2">
        <v>0.57699999999999996</v>
      </c>
      <c r="H12" s="2">
        <v>0.60899999999999999</v>
      </c>
      <c r="I12" s="4"/>
    </row>
    <row r="13" spans="1:9" x14ac:dyDescent="0.2">
      <c r="A13" t="s">
        <v>109</v>
      </c>
      <c r="B13">
        <v>8</v>
      </c>
      <c r="C13" s="2">
        <v>0.375</v>
      </c>
      <c r="D13">
        <v>3</v>
      </c>
      <c r="E13">
        <v>5</v>
      </c>
      <c r="F13">
        <v>1.31</v>
      </c>
      <c r="G13" s="2">
        <v>0.38100000000000001</v>
      </c>
      <c r="H13" s="2">
        <v>0.42899999999999999</v>
      </c>
      <c r="I13" s="4"/>
    </row>
    <row r="14" spans="1:9" x14ac:dyDescent="0.2">
      <c r="A14" t="s">
        <v>107</v>
      </c>
      <c r="B14">
        <v>7</v>
      </c>
      <c r="C14" s="2">
        <v>0.42899999999999999</v>
      </c>
      <c r="D14">
        <v>3</v>
      </c>
      <c r="E14">
        <v>4</v>
      </c>
      <c r="F14">
        <v>0.59</v>
      </c>
      <c r="G14" s="2">
        <v>0.47399999999999998</v>
      </c>
      <c r="H14" s="2">
        <v>0.47399999999999998</v>
      </c>
      <c r="I14" s="4"/>
    </row>
    <row r="15" spans="1:9" x14ac:dyDescent="0.2">
      <c r="A15" t="s">
        <v>106</v>
      </c>
      <c r="B15">
        <v>6</v>
      </c>
      <c r="C15" s="2">
        <v>0.5</v>
      </c>
      <c r="D15">
        <v>3</v>
      </c>
      <c r="E15">
        <v>3</v>
      </c>
      <c r="F15">
        <v>0.68</v>
      </c>
      <c r="G15" s="2">
        <v>0.35</v>
      </c>
      <c r="H15" s="2">
        <v>0.6</v>
      </c>
      <c r="I15" s="4"/>
    </row>
    <row r="16" spans="1:9" x14ac:dyDescent="0.2">
      <c r="A16" t="s">
        <v>104</v>
      </c>
      <c r="B16">
        <v>5</v>
      </c>
      <c r="C16" s="2">
        <v>1</v>
      </c>
      <c r="D16">
        <v>5</v>
      </c>
      <c r="E16">
        <v>0</v>
      </c>
      <c r="F16">
        <v>1.05</v>
      </c>
      <c r="G16" s="2">
        <v>0.56299999999999994</v>
      </c>
      <c r="H16" s="2">
        <v>0.68400000000000005</v>
      </c>
      <c r="I16" s="4"/>
    </row>
    <row r="17" spans="1:9" x14ac:dyDescent="0.2">
      <c r="A17" t="s">
        <v>110</v>
      </c>
      <c r="B17">
        <v>5</v>
      </c>
      <c r="C17" s="2">
        <v>0.8</v>
      </c>
      <c r="D17">
        <v>4</v>
      </c>
      <c r="E17">
        <v>1</v>
      </c>
      <c r="F17">
        <v>0.9</v>
      </c>
      <c r="G17" s="2">
        <v>0.625</v>
      </c>
      <c r="H17" s="2">
        <v>0.58799999999999997</v>
      </c>
      <c r="I17" s="4"/>
    </row>
    <row r="18" spans="1:9" x14ac:dyDescent="0.2">
      <c r="A18" t="s">
        <v>108</v>
      </c>
      <c r="B18">
        <v>4</v>
      </c>
      <c r="C18" s="2">
        <v>0.25</v>
      </c>
      <c r="D18">
        <v>1</v>
      </c>
      <c r="E18">
        <v>3</v>
      </c>
      <c r="F18">
        <v>0.53</v>
      </c>
      <c r="G18" s="2">
        <v>0.23100000000000001</v>
      </c>
      <c r="H18" s="2">
        <v>0.53800000000000003</v>
      </c>
      <c r="I18" s="4"/>
    </row>
    <row r="19" spans="1:9" x14ac:dyDescent="0.2">
      <c r="A19" t="s">
        <v>119</v>
      </c>
      <c r="B19">
        <v>1</v>
      </c>
      <c r="C19" s="2">
        <v>0</v>
      </c>
      <c r="D19">
        <v>0</v>
      </c>
      <c r="E19">
        <v>1</v>
      </c>
      <c r="F19">
        <v>2.5</v>
      </c>
      <c r="G19" s="2">
        <v>0</v>
      </c>
      <c r="H19" s="2">
        <v>0</v>
      </c>
      <c r="I19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631A7-2C50-F545-9F63-12BADB218E70}">
  <dimension ref="A1:I19"/>
  <sheetViews>
    <sheetView workbookViewId="0">
      <selection activeCell="E37" sqref="E37"/>
    </sheetView>
  </sheetViews>
  <sheetFormatPr baseColWidth="10" defaultRowHeight="16" x14ac:dyDescent="0.2"/>
  <cols>
    <col min="8" max="8" width="13.83203125" customWidth="1"/>
  </cols>
  <sheetData>
    <row r="1" spans="1:9" x14ac:dyDescent="0.2">
      <c r="A1" t="s">
        <v>91</v>
      </c>
      <c r="B1" t="s">
        <v>95</v>
      </c>
      <c r="C1" t="s">
        <v>1</v>
      </c>
      <c r="D1" t="s">
        <v>5</v>
      </c>
      <c r="E1" t="s">
        <v>92</v>
      </c>
      <c r="F1" t="s">
        <v>2</v>
      </c>
      <c r="G1" t="s">
        <v>93</v>
      </c>
      <c r="H1" t="s">
        <v>94</v>
      </c>
    </row>
    <row r="2" spans="1:9" x14ac:dyDescent="0.2">
      <c r="A2" t="s">
        <v>97</v>
      </c>
      <c r="B2">
        <v>25</v>
      </c>
      <c r="C2" s="2">
        <v>0.44</v>
      </c>
      <c r="D2">
        <v>11</v>
      </c>
      <c r="E2">
        <v>14</v>
      </c>
      <c r="F2">
        <v>1.3</v>
      </c>
      <c r="G2" s="2">
        <v>0.51500000000000001</v>
      </c>
      <c r="H2" s="2">
        <v>0.45500000000000002</v>
      </c>
      <c r="I2" s="4"/>
    </row>
    <row r="3" spans="1:9" x14ac:dyDescent="0.2">
      <c r="A3" t="s">
        <v>99</v>
      </c>
      <c r="B3">
        <v>20</v>
      </c>
      <c r="C3" s="2">
        <v>0.6</v>
      </c>
      <c r="D3">
        <v>12</v>
      </c>
      <c r="E3">
        <v>8</v>
      </c>
      <c r="F3">
        <v>1.4</v>
      </c>
      <c r="G3" s="2">
        <v>0.49199999999999999</v>
      </c>
      <c r="H3" s="2">
        <v>0.61299999999999999</v>
      </c>
      <c r="I3" s="4"/>
    </row>
    <row r="4" spans="1:9" x14ac:dyDescent="0.2">
      <c r="A4" t="s">
        <v>98</v>
      </c>
      <c r="B4">
        <v>19</v>
      </c>
      <c r="C4" s="2">
        <v>0.78900000000000003</v>
      </c>
      <c r="D4">
        <v>15</v>
      </c>
      <c r="E4">
        <v>4</v>
      </c>
      <c r="F4">
        <v>1.64</v>
      </c>
      <c r="G4" s="2">
        <v>0.55700000000000005</v>
      </c>
      <c r="H4" s="2">
        <v>0.69199999999999995</v>
      </c>
      <c r="I4" s="4"/>
    </row>
    <row r="5" spans="1:9" x14ac:dyDescent="0.2">
      <c r="A5" t="s">
        <v>105</v>
      </c>
      <c r="B5">
        <v>17</v>
      </c>
      <c r="C5" s="2">
        <v>0.76500000000000001</v>
      </c>
      <c r="D5">
        <v>13</v>
      </c>
      <c r="E5">
        <v>4</v>
      </c>
      <c r="F5">
        <v>1.6</v>
      </c>
      <c r="G5" s="2">
        <v>0.627</v>
      </c>
      <c r="H5" s="2">
        <v>0.627</v>
      </c>
      <c r="I5" s="4"/>
    </row>
    <row r="6" spans="1:9" x14ac:dyDescent="0.2">
      <c r="A6" t="s">
        <v>120</v>
      </c>
      <c r="B6">
        <v>17</v>
      </c>
      <c r="C6" s="2">
        <v>0.52900000000000003</v>
      </c>
      <c r="D6">
        <v>9</v>
      </c>
      <c r="E6">
        <v>8</v>
      </c>
      <c r="F6">
        <v>1.34</v>
      </c>
      <c r="G6" s="2">
        <v>0.45100000000000001</v>
      </c>
      <c r="H6" s="2">
        <v>0.56899999999999995</v>
      </c>
      <c r="I6" s="4"/>
    </row>
    <row r="7" spans="1:9" x14ac:dyDescent="0.2">
      <c r="A7" t="s">
        <v>100</v>
      </c>
      <c r="B7">
        <v>17</v>
      </c>
      <c r="C7" s="2">
        <v>0.35299999999999998</v>
      </c>
      <c r="D7">
        <v>6</v>
      </c>
      <c r="E7">
        <v>11</v>
      </c>
      <c r="F7">
        <v>1.03</v>
      </c>
      <c r="G7" s="2">
        <v>0.35799999999999998</v>
      </c>
      <c r="H7" s="2">
        <v>0.56499999999999995</v>
      </c>
      <c r="I7" s="4"/>
    </row>
    <row r="8" spans="1:9" x14ac:dyDescent="0.2">
      <c r="A8" t="s">
        <v>121</v>
      </c>
      <c r="B8">
        <v>15</v>
      </c>
      <c r="C8" s="2">
        <v>0.46700000000000003</v>
      </c>
      <c r="D8">
        <v>7</v>
      </c>
      <c r="E8">
        <v>8</v>
      </c>
      <c r="F8">
        <v>1.1100000000000001</v>
      </c>
      <c r="G8" s="2">
        <v>0.54</v>
      </c>
      <c r="H8" s="2">
        <v>0.39200000000000002</v>
      </c>
      <c r="I8" s="4"/>
    </row>
    <row r="9" spans="1:9" x14ac:dyDescent="0.2">
      <c r="A9" t="s">
        <v>107</v>
      </c>
      <c r="B9">
        <v>14</v>
      </c>
      <c r="C9" s="2">
        <v>0.57099999999999995</v>
      </c>
      <c r="D9">
        <v>8</v>
      </c>
      <c r="E9">
        <v>6</v>
      </c>
      <c r="F9">
        <v>1.42</v>
      </c>
      <c r="G9" s="2">
        <v>0.41</v>
      </c>
      <c r="H9" s="2">
        <v>0.61899999999999999</v>
      </c>
      <c r="I9" s="4"/>
    </row>
    <row r="10" spans="1:9" x14ac:dyDescent="0.2">
      <c r="A10" t="s">
        <v>103</v>
      </c>
      <c r="B10">
        <v>10</v>
      </c>
      <c r="C10" s="2">
        <v>0.5</v>
      </c>
      <c r="D10">
        <v>5</v>
      </c>
      <c r="E10">
        <v>5</v>
      </c>
      <c r="F10">
        <v>1</v>
      </c>
      <c r="G10" s="2">
        <v>0.42899999999999999</v>
      </c>
      <c r="H10" s="2">
        <v>0.53600000000000003</v>
      </c>
      <c r="I10" s="4"/>
    </row>
    <row r="11" spans="1:9" x14ac:dyDescent="0.2">
      <c r="A11" t="s">
        <v>104</v>
      </c>
      <c r="B11">
        <v>10</v>
      </c>
      <c r="C11" s="2">
        <v>0.6</v>
      </c>
      <c r="D11">
        <v>6</v>
      </c>
      <c r="E11">
        <v>4</v>
      </c>
      <c r="F11">
        <v>1.38</v>
      </c>
      <c r="G11" s="2">
        <v>0.57099999999999995</v>
      </c>
      <c r="H11" s="2">
        <v>0.51400000000000001</v>
      </c>
      <c r="I11" s="4"/>
    </row>
    <row r="12" spans="1:9" x14ac:dyDescent="0.2">
      <c r="A12" t="s">
        <v>101</v>
      </c>
      <c r="B12">
        <v>9</v>
      </c>
      <c r="C12" s="2">
        <v>0.55600000000000005</v>
      </c>
      <c r="D12">
        <v>5</v>
      </c>
      <c r="E12">
        <v>4</v>
      </c>
      <c r="F12">
        <v>1.57</v>
      </c>
      <c r="G12" s="2">
        <v>0.42899999999999999</v>
      </c>
      <c r="H12" s="2">
        <v>0.58299999999999996</v>
      </c>
      <c r="I12" s="4"/>
    </row>
    <row r="13" spans="1:9" x14ac:dyDescent="0.2">
      <c r="A13" t="s">
        <v>102</v>
      </c>
      <c r="B13">
        <v>8</v>
      </c>
      <c r="C13" s="2">
        <v>0.5</v>
      </c>
      <c r="D13">
        <v>4</v>
      </c>
      <c r="E13">
        <v>4</v>
      </c>
      <c r="F13">
        <v>1.36</v>
      </c>
      <c r="G13" s="2">
        <v>0.37</v>
      </c>
      <c r="H13" s="2">
        <v>0.68</v>
      </c>
      <c r="I13" s="4"/>
    </row>
    <row r="14" spans="1:9" x14ac:dyDescent="0.2">
      <c r="A14" t="s">
        <v>111</v>
      </c>
      <c r="B14">
        <v>5</v>
      </c>
      <c r="C14" s="2">
        <v>0.6</v>
      </c>
      <c r="D14">
        <v>3</v>
      </c>
      <c r="E14">
        <v>2</v>
      </c>
      <c r="F14">
        <v>1.24</v>
      </c>
      <c r="G14" s="2">
        <v>0.26700000000000002</v>
      </c>
      <c r="H14" s="2">
        <v>0.73299999999999998</v>
      </c>
      <c r="I14" s="4"/>
    </row>
    <row r="15" spans="1:9" x14ac:dyDescent="0.2">
      <c r="A15" t="s">
        <v>110</v>
      </c>
      <c r="B15">
        <v>4</v>
      </c>
      <c r="C15" s="2">
        <v>0.5</v>
      </c>
      <c r="D15">
        <v>2</v>
      </c>
      <c r="E15">
        <v>2</v>
      </c>
      <c r="F15">
        <v>1</v>
      </c>
      <c r="G15" s="2">
        <v>0.5</v>
      </c>
      <c r="H15" s="2">
        <v>0.57099999999999995</v>
      </c>
      <c r="I15" s="4"/>
    </row>
    <row r="16" spans="1:9" x14ac:dyDescent="0.2">
      <c r="A16" t="s">
        <v>109</v>
      </c>
      <c r="B16">
        <v>3</v>
      </c>
      <c r="C16" s="2">
        <v>0.33300000000000002</v>
      </c>
      <c r="D16">
        <v>1</v>
      </c>
      <c r="E16">
        <v>2</v>
      </c>
      <c r="F16">
        <v>1.25</v>
      </c>
      <c r="G16" s="2">
        <v>0.55600000000000005</v>
      </c>
      <c r="H16" s="2">
        <v>0.222</v>
      </c>
      <c r="I16" s="4"/>
    </row>
    <row r="17" spans="1:9" x14ac:dyDescent="0.2">
      <c r="A17" t="s">
        <v>119</v>
      </c>
      <c r="B17">
        <v>2</v>
      </c>
      <c r="C17" s="2">
        <v>0.5</v>
      </c>
      <c r="D17">
        <v>1</v>
      </c>
      <c r="E17">
        <v>1</v>
      </c>
      <c r="F17">
        <v>1.4</v>
      </c>
      <c r="G17" s="2">
        <v>0.375</v>
      </c>
      <c r="H17" s="2">
        <v>0.625</v>
      </c>
      <c r="I17" s="4"/>
    </row>
    <row r="18" spans="1:9" x14ac:dyDescent="0.2">
      <c r="A18" t="s">
        <v>106</v>
      </c>
      <c r="B18">
        <v>2</v>
      </c>
      <c r="C18" s="2">
        <v>1</v>
      </c>
      <c r="D18">
        <v>2</v>
      </c>
      <c r="E18">
        <v>0</v>
      </c>
      <c r="F18">
        <v>1.75</v>
      </c>
      <c r="G18" s="2">
        <v>0.625</v>
      </c>
      <c r="H18" s="2">
        <v>0.55600000000000005</v>
      </c>
      <c r="I18" s="4"/>
    </row>
    <row r="19" spans="1:9" x14ac:dyDescent="0.2">
      <c r="A19" t="s">
        <v>108</v>
      </c>
      <c r="B19">
        <v>1</v>
      </c>
      <c r="C19" s="2">
        <v>0</v>
      </c>
      <c r="D19">
        <v>0</v>
      </c>
      <c r="E19">
        <v>1</v>
      </c>
      <c r="F19">
        <v>2.5</v>
      </c>
      <c r="G19" s="2">
        <v>0.33300000000000002</v>
      </c>
      <c r="H19" s="2">
        <v>0.33300000000000002</v>
      </c>
      <c r="I19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927C0-5C97-1643-B3BA-069A869400F6}">
  <dimension ref="A1:M75"/>
  <sheetViews>
    <sheetView zoomScale="92" workbookViewId="0">
      <selection activeCell="I31" sqref="I31"/>
    </sheetView>
  </sheetViews>
  <sheetFormatPr baseColWidth="10" defaultRowHeight="16" x14ac:dyDescent="0.2"/>
  <cols>
    <col min="3" max="3" width="14" customWidth="1"/>
  </cols>
  <sheetData>
    <row r="1" spans="1:13" x14ac:dyDescent="0.2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23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 t="s">
        <v>13</v>
      </c>
      <c r="C2" s="1">
        <v>1135</v>
      </c>
      <c r="D2" s="2">
        <v>0.58599999999999997</v>
      </c>
      <c r="E2">
        <v>1.28</v>
      </c>
      <c r="F2" s="2">
        <v>0.28100000000000003</v>
      </c>
      <c r="G2">
        <v>665</v>
      </c>
      <c r="H2">
        <v>470</v>
      </c>
      <c r="I2">
        <v>932</v>
      </c>
      <c r="J2">
        <v>727</v>
      </c>
      <c r="K2">
        <v>518</v>
      </c>
      <c r="L2">
        <v>1</v>
      </c>
      <c r="M2">
        <v>5</v>
      </c>
    </row>
    <row r="3" spans="1:13" x14ac:dyDescent="0.2">
      <c r="A3" t="s">
        <v>12</v>
      </c>
      <c r="B3" t="s">
        <v>15</v>
      </c>
      <c r="C3">
        <v>497</v>
      </c>
      <c r="D3" s="2">
        <v>0.64200000000000002</v>
      </c>
      <c r="E3">
        <v>0.95</v>
      </c>
      <c r="F3" s="2">
        <v>0.66200000000000003</v>
      </c>
      <c r="G3">
        <v>319</v>
      </c>
      <c r="H3">
        <v>178</v>
      </c>
      <c r="I3">
        <v>287</v>
      </c>
      <c r="J3">
        <v>303</v>
      </c>
      <c r="K3">
        <v>130</v>
      </c>
      <c r="L3">
        <v>0</v>
      </c>
      <c r="M3">
        <v>4</v>
      </c>
    </row>
    <row r="4" spans="1:13" x14ac:dyDescent="0.2">
      <c r="A4" t="s">
        <v>12</v>
      </c>
      <c r="B4" t="s">
        <v>14</v>
      </c>
      <c r="C4">
        <v>298</v>
      </c>
      <c r="D4" s="2">
        <v>0.56000000000000005</v>
      </c>
      <c r="E4">
        <v>1.19</v>
      </c>
      <c r="F4" s="2">
        <v>0.27</v>
      </c>
      <c r="G4">
        <v>167</v>
      </c>
      <c r="H4">
        <v>131</v>
      </c>
      <c r="I4">
        <v>222</v>
      </c>
      <c r="J4">
        <v>186</v>
      </c>
      <c r="K4">
        <v>69</v>
      </c>
      <c r="L4">
        <v>0</v>
      </c>
      <c r="M4">
        <v>1</v>
      </c>
    </row>
    <row r="5" spans="1:13" x14ac:dyDescent="0.2">
      <c r="A5" t="s">
        <v>12</v>
      </c>
      <c r="B5" t="s">
        <v>27</v>
      </c>
      <c r="C5">
        <v>191</v>
      </c>
      <c r="D5" s="2">
        <v>0.57599999999999996</v>
      </c>
      <c r="E5">
        <v>1.06</v>
      </c>
      <c r="F5" s="2">
        <v>0.51900000000000002</v>
      </c>
      <c r="G5">
        <v>110</v>
      </c>
      <c r="H5">
        <v>81</v>
      </c>
      <c r="I5">
        <v>131</v>
      </c>
      <c r="J5">
        <v>124</v>
      </c>
      <c r="K5">
        <v>42</v>
      </c>
      <c r="L5">
        <v>0</v>
      </c>
      <c r="M5">
        <v>2</v>
      </c>
    </row>
    <row r="6" spans="1:13" x14ac:dyDescent="0.2">
      <c r="A6" t="s">
        <v>12</v>
      </c>
      <c r="B6" t="s">
        <v>16</v>
      </c>
      <c r="C6">
        <v>153</v>
      </c>
      <c r="D6" s="2">
        <v>0.60799999999999998</v>
      </c>
      <c r="E6">
        <v>0.64</v>
      </c>
      <c r="F6" s="2">
        <v>0.52</v>
      </c>
      <c r="G6">
        <v>93</v>
      </c>
      <c r="H6">
        <v>60</v>
      </c>
      <c r="I6">
        <v>50</v>
      </c>
      <c r="J6">
        <v>78</v>
      </c>
      <c r="K6">
        <v>12</v>
      </c>
      <c r="L6">
        <v>0</v>
      </c>
      <c r="M6">
        <v>0</v>
      </c>
    </row>
    <row r="7" spans="1:13" x14ac:dyDescent="0.2">
      <c r="A7" t="s">
        <v>12</v>
      </c>
      <c r="B7" t="s">
        <v>20</v>
      </c>
      <c r="C7">
        <v>142</v>
      </c>
      <c r="D7" s="2">
        <v>0.51400000000000001</v>
      </c>
      <c r="E7">
        <v>0.78</v>
      </c>
      <c r="F7" s="2">
        <v>0.57099999999999995</v>
      </c>
      <c r="G7">
        <v>73</v>
      </c>
      <c r="H7">
        <v>69</v>
      </c>
      <c r="I7">
        <v>77</v>
      </c>
      <c r="J7">
        <v>99</v>
      </c>
      <c r="K7">
        <v>36</v>
      </c>
      <c r="L7">
        <v>0</v>
      </c>
      <c r="M7">
        <v>2</v>
      </c>
    </row>
    <row r="8" spans="1:13" x14ac:dyDescent="0.2">
      <c r="A8" t="s">
        <v>12</v>
      </c>
      <c r="B8" t="s">
        <v>22</v>
      </c>
      <c r="C8">
        <v>89</v>
      </c>
      <c r="D8" s="2">
        <v>0.61799999999999999</v>
      </c>
      <c r="E8">
        <v>0.84</v>
      </c>
      <c r="F8" s="2">
        <v>0.45200000000000001</v>
      </c>
      <c r="G8">
        <v>55</v>
      </c>
      <c r="H8">
        <v>34</v>
      </c>
      <c r="I8">
        <v>42</v>
      </c>
      <c r="J8">
        <v>50</v>
      </c>
      <c r="K8">
        <v>30</v>
      </c>
      <c r="L8">
        <v>0</v>
      </c>
      <c r="M8">
        <v>0</v>
      </c>
    </row>
    <row r="9" spans="1:13" x14ac:dyDescent="0.2">
      <c r="A9" t="s">
        <v>12</v>
      </c>
      <c r="B9" t="s">
        <v>18</v>
      </c>
      <c r="C9">
        <v>85</v>
      </c>
      <c r="D9" s="2">
        <v>0.58799999999999997</v>
      </c>
      <c r="E9">
        <v>0.74</v>
      </c>
      <c r="F9" s="2">
        <v>0.6</v>
      </c>
      <c r="G9">
        <v>50</v>
      </c>
      <c r="H9">
        <v>35</v>
      </c>
      <c r="I9">
        <v>40</v>
      </c>
      <c r="J9">
        <v>54</v>
      </c>
      <c r="K9">
        <v>13</v>
      </c>
      <c r="L9">
        <v>0</v>
      </c>
      <c r="M9">
        <v>0</v>
      </c>
    </row>
    <row r="10" spans="1:13" x14ac:dyDescent="0.2">
      <c r="A10" t="s">
        <v>12</v>
      </c>
      <c r="B10" t="s">
        <v>17</v>
      </c>
      <c r="C10">
        <v>69</v>
      </c>
      <c r="D10" s="2">
        <v>0.56499999999999995</v>
      </c>
      <c r="E10">
        <v>1.02</v>
      </c>
      <c r="F10" s="2">
        <v>0.318</v>
      </c>
      <c r="G10">
        <v>39</v>
      </c>
      <c r="H10">
        <v>30</v>
      </c>
      <c r="I10">
        <v>44</v>
      </c>
      <c r="J10">
        <v>43</v>
      </c>
      <c r="K10">
        <v>22</v>
      </c>
      <c r="L10">
        <v>0</v>
      </c>
      <c r="M10">
        <v>0</v>
      </c>
    </row>
    <row r="11" spans="1:13" x14ac:dyDescent="0.2">
      <c r="A11" t="s">
        <v>12</v>
      </c>
      <c r="B11" t="s">
        <v>56</v>
      </c>
      <c r="C11">
        <v>61</v>
      </c>
      <c r="D11" s="2">
        <v>0.36099999999999999</v>
      </c>
      <c r="E11">
        <v>0.67</v>
      </c>
      <c r="F11" s="2">
        <v>0.68600000000000005</v>
      </c>
      <c r="G11">
        <v>22</v>
      </c>
      <c r="H11">
        <v>39</v>
      </c>
      <c r="I11">
        <v>35</v>
      </c>
      <c r="J11">
        <v>52</v>
      </c>
      <c r="K11">
        <v>12</v>
      </c>
      <c r="L11">
        <v>0</v>
      </c>
      <c r="M11">
        <v>0</v>
      </c>
    </row>
    <row r="12" spans="1:13" x14ac:dyDescent="0.2">
      <c r="A12" t="s">
        <v>12</v>
      </c>
      <c r="B12" t="s">
        <v>19</v>
      </c>
      <c r="C12">
        <v>58</v>
      </c>
      <c r="D12" s="2">
        <v>0.58599999999999997</v>
      </c>
      <c r="E12">
        <v>1.0900000000000001</v>
      </c>
      <c r="F12" s="2">
        <v>0.216</v>
      </c>
      <c r="G12">
        <v>34</v>
      </c>
      <c r="H12">
        <v>24</v>
      </c>
      <c r="I12">
        <v>37</v>
      </c>
      <c r="J12">
        <v>34</v>
      </c>
      <c r="K12">
        <v>9</v>
      </c>
      <c r="L12">
        <v>0</v>
      </c>
      <c r="M12">
        <v>0</v>
      </c>
    </row>
    <row r="13" spans="1:13" x14ac:dyDescent="0.2">
      <c r="A13" t="s">
        <v>12</v>
      </c>
      <c r="B13" t="s">
        <v>57</v>
      </c>
      <c r="C13">
        <v>51</v>
      </c>
      <c r="D13" s="2">
        <v>0.52900000000000003</v>
      </c>
      <c r="E13">
        <v>0.72</v>
      </c>
      <c r="F13" s="2">
        <v>0.34799999999999998</v>
      </c>
      <c r="G13">
        <v>27</v>
      </c>
      <c r="H13">
        <v>24</v>
      </c>
      <c r="I13">
        <v>23</v>
      </c>
      <c r="J13">
        <v>32</v>
      </c>
      <c r="K13">
        <v>14</v>
      </c>
      <c r="L13">
        <v>0</v>
      </c>
      <c r="M13">
        <v>0</v>
      </c>
    </row>
    <row r="14" spans="1:13" x14ac:dyDescent="0.2">
      <c r="A14" t="s">
        <v>12</v>
      </c>
      <c r="B14" t="s">
        <v>26</v>
      </c>
      <c r="C14">
        <v>46</v>
      </c>
      <c r="D14" s="2">
        <v>0.45700000000000002</v>
      </c>
      <c r="E14">
        <v>0.63</v>
      </c>
      <c r="F14" s="2">
        <v>0.63600000000000001</v>
      </c>
      <c r="G14">
        <v>21</v>
      </c>
      <c r="H14">
        <v>25</v>
      </c>
      <c r="I14">
        <v>22</v>
      </c>
      <c r="J14">
        <v>35</v>
      </c>
      <c r="K14">
        <v>8</v>
      </c>
      <c r="L14">
        <v>0</v>
      </c>
      <c r="M14">
        <v>0</v>
      </c>
    </row>
    <row r="15" spans="1:13" x14ac:dyDescent="0.2">
      <c r="A15" t="s">
        <v>12</v>
      </c>
      <c r="B15" t="s">
        <v>58</v>
      </c>
      <c r="C15">
        <v>45</v>
      </c>
      <c r="D15" s="2">
        <v>0.6</v>
      </c>
      <c r="E15">
        <v>1</v>
      </c>
      <c r="F15" s="2">
        <v>0.185</v>
      </c>
      <c r="G15">
        <v>27</v>
      </c>
      <c r="H15">
        <v>18</v>
      </c>
      <c r="I15">
        <v>27</v>
      </c>
      <c r="J15">
        <v>27</v>
      </c>
      <c r="K15">
        <v>8</v>
      </c>
      <c r="L15">
        <v>0</v>
      </c>
      <c r="M15">
        <v>0</v>
      </c>
    </row>
    <row r="16" spans="1:13" x14ac:dyDescent="0.2">
      <c r="A16" t="s">
        <v>12</v>
      </c>
      <c r="B16" t="s">
        <v>29</v>
      </c>
      <c r="C16">
        <v>45</v>
      </c>
      <c r="D16" s="2">
        <v>0.48899999999999999</v>
      </c>
      <c r="E16">
        <v>0.9</v>
      </c>
      <c r="F16" s="2">
        <v>0.314</v>
      </c>
      <c r="G16">
        <v>22</v>
      </c>
      <c r="H16">
        <v>23</v>
      </c>
      <c r="I16">
        <v>35</v>
      </c>
      <c r="J16">
        <v>39</v>
      </c>
      <c r="K16">
        <v>15</v>
      </c>
      <c r="L16">
        <v>0</v>
      </c>
      <c r="M16">
        <v>0</v>
      </c>
    </row>
    <row r="17" spans="1:13" x14ac:dyDescent="0.2">
      <c r="A17" t="s">
        <v>12</v>
      </c>
      <c r="B17" t="s">
        <v>24</v>
      </c>
      <c r="C17">
        <v>38</v>
      </c>
      <c r="D17" s="2">
        <v>0.47399999999999998</v>
      </c>
      <c r="E17">
        <v>0.59</v>
      </c>
      <c r="F17" s="2">
        <v>0.35299999999999998</v>
      </c>
      <c r="G17">
        <v>18</v>
      </c>
      <c r="H17">
        <v>20</v>
      </c>
      <c r="I17">
        <v>17</v>
      </c>
      <c r="J17">
        <v>29</v>
      </c>
      <c r="K17">
        <v>5</v>
      </c>
      <c r="L17">
        <v>0</v>
      </c>
      <c r="M17">
        <v>2</v>
      </c>
    </row>
    <row r="18" spans="1:13" x14ac:dyDescent="0.2">
      <c r="A18" t="s">
        <v>12</v>
      </c>
      <c r="B18" t="s">
        <v>28</v>
      </c>
      <c r="C18">
        <v>34</v>
      </c>
      <c r="D18" s="2">
        <v>0.55900000000000005</v>
      </c>
      <c r="E18">
        <v>0.89</v>
      </c>
      <c r="F18" s="2">
        <v>0.29199999999999998</v>
      </c>
      <c r="G18">
        <v>19</v>
      </c>
      <c r="H18">
        <v>15</v>
      </c>
      <c r="I18">
        <v>24</v>
      </c>
      <c r="J18">
        <v>27</v>
      </c>
      <c r="K18">
        <v>8</v>
      </c>
      <c r="L18">
        <v>0</v>
      </c>
      <c r="M18">
        <v>0</v>
      </c>
    </row>
    <row r="19" spans="1:13" x14ac:dyDescent="0.2">
      <c r="A19" t="s">
        <v>12</v>
      </c>
      <c r="B19" t="s">
        <v>25</v>
      </c>
      <c r="C19">
        <v>30</v>
      </c>
      <c r="D19" s="2">
        <v>0.46700000000000003</v>
      </c>
      <c r="E19">
        <v>0.55000000000000004</v>
      </c>
      <c r="F19" s="2">
        <v>0.33300000000000002</v>
      </c>
      <c r="G19">
        <v>14</v>
      </c>
      <c r="H19">
        <v>16</v>
      </c>
      <c r="I19">
        <v>12</v>
      </c>
      <c r="J19">
        <v>22</v>
      </c>
      <c r="K19">
        <v>11</v>
      </c>
      <c r="L19">
        <v>0</v>
      </c>
      <c r="M19">
        <v>1</v>
      </c>
    </row>
    <row r="20" spans="1:13" x14ac:dyDescent="0.2">
      <c r="A20" t="s">
        <v>12</v>
      </c>
      <c r="B20" t="s">
        <v>21</v>
      </c>
      <c r="C20">
        <v>24</v>
      </c>
      <c r="D20" s="2">
        <v>0.41699999999999998</v>
      </c>
      <c r="E20">
        <v>0.79</v>
      </c>
      <c r="F20" s="2">
        <v>0.73299999999999998</v>
      </c>
      <c r="G20">
        <v>10</v>
      </c>
      <c r="H20">
        <v>14</v>
      </c>
      <c r="I20">
        <v>15</v>
      </c>
      <c r="J20">
        <v>19</v>
      </c>
      <c r="K20">
        <v>5</v>
      </c>
      <c r="L20">
        <v>0</v>
      </c>
      <c r="M20">
        <v>0</v>
      </c>
    </row>
    <row r="21" spans="1:13" x14ac:dyDescent="0.2">
      <c r="A21" t="s">
        <v>12</v>
      </c>
      <c r="B21" t="s">
        <v>59</v>
      </c>
      <c r="C21">
        <v>16</v>
      </c>
      <c r="D21" s="2">
        <v>0.5</v>
      </c>
      <c r="E21">
        <v>0.83</v>
      </c>
      <c r="F21" s="2">
        <v>0.5</v>
      </c>
      <c r="G21">
        <v>8</v>
      </c>
      <c r="H21">
        <v>8</v>
      </c>
      <c r="I21">
        <v>10</v>
      </c>
      <c r="J21">
        <v>12</v>
      </c>
      <c r="K21">
        <v>4</v>
      </c>
      <c r="L21">
        <v>0</v>
      </c>
      <c r="M21">
        <v>0</v>
      </c>
    </row>
    <row r="22" spans="1:13" x14ac:dyDescent="0.2">
      <c r="A22" t="s">
        <v>12</v>
      </c>
      <c r="B22" t="s">
        <v>60</v>
      </c>
      <c r="C22">
        <v>12</v>
      </c>
      <c r="D22" s="2">
        <v>0.41699999999999998</v>
      </c>
      <c r="E22">
        <v>1</v>
      </c>
      <c r="F22" s="2">
        <v>0.28599999999999998</v>
      </c>
      <c r="G22">
        <v>5</v>
      </c>
      <c r="H22">
        <v>7</v>
      </c>
      <c r="I22">
        <v>7</v>
      </c>
      <c r="J22">
        <v>7</v>
      </c>
      <c r="K22">
        <v>3</v>
      </c>
      <c r="L22">
        <v>0</v>
      </c>
      <c r="M22">
        <v>0</v>
      </c>
    </row>
    <row r="23" spans="1:13" x14ac:dyDescent="0.2">
      <c r="A23" t="s">
        <v>12</v>
      </c>
      <c r="B23" t="s">
        <v>61</v>
      </c>
      <c r="C23">
        <v>10</v>
      </c>
      <c r="D23" s="2">
        <v>0.5</v>
      </c>
      <c r="E23">
        <v>0.86</v>
      </c>
      <c r="F23" s="2">
        <v>0.66700000000000004</v>
      </c>
      <c r="G23">
        <v>5</v>
      </c>
      <c r="H23">
        <v>5</v>
      </c>
      <c r="I23">
        <v>6</v>
      </c>
      <c r="J23">
        <v>7</v>
      </c>
      <c r="K23">
        <v>1</v>
      </c>
      <c r="L23">
        <v>0</v>
      </c>
      <c r="M23">
        <v>0</v>
      </c>
    </row>
    <row r="24" spans="1:13" x14ac:dyDescent="0.2">
      <c r="A24" t="s">
        <v>12</v>
      </c>
      <c r="B24" t="s">
        <v>62</v>
      </c>
      <c r="C24">
        <v>10</v>
      </c>
      <c r="D24" s="2">
        <v>0.4</v>
      </c>
      <c r="E24">
        <v>0.83</v>
      </c>
      <c r="F24" s="2">
        <v>0.2</v>
      </c>
      <c r="G24">
        <v>4</v>
      </c>
      <c r="H24">
        <v>6</v>
      </c>
      <c r="I24">
        <v>5</v>
      </c>
      <c r="J24">
        <v>6</v>
      </c>
      <c r="K24">
        <v>3</v>
      </c>
      <c r="L24">
        <v>0</v>
      </c>
      <c r="M24">
        <v>0</v>
      </c>
    </row>
    <row r="25" spans="1:13" x14ac:dyDescent="0.2">
      <c r="A25" t="s">
        <v>12</v>
      </c>
      <c r="B25" t="s">
        <v>63</v>
      </c>
      <c r="C25">
        <v>10</v>
      </c>
      <c r="D25" s="2">
        <v>0.3</v>
      </c>
      <c r="E25">
        <v>1.17</v>
      </c>
      <c r="F25" s="2">
        <v>0.42899999999999999</v>
      </c>
      <c r="G25">
        <v>3</v>
      </c>
      <c r="H25">
        <v>7</v>
      </c>
      <c r="I25">
        <v>7</v>
      </c>
      <c r="J25">
        <v>6</v>
      </c>
      <c r="K25">
        <v>1</v>
      </c>
      <c r="L25">
        <v>0</v>
      </c>
      <c r="M25">
        <v>0</v>
      </c>
    </row>
    <row r="26" spans="1:13" x14ac:dyDescent="0.2">
      <c r="A26" t="s">
        <v>12</v>
      </c>
      <c r="B26" t="s">
        <v>30</v>
      </c>
      <c r="C26">
        <v>7</v>
      </c>
      <c r="D26" s="2">
        <v>0.57099999999999995</v>
      </c>
      <c r="E26">
        <v>0.17</v>
      </c>
      <c r="F26" s="2">
        <v>1</v>
      </c>
      <c r="G26">
        <v>4</v>
      </c>
      <c r="H26">
        <v>3</v>
      </c>
      <c r="I26">
        <v>1</v>
      </c>
      <c r="J26">
        <v>6</v>
      </c>
      <c r="K26">
        <v>1</v>
      </c>
      <c r="L26">
        <v>0</v>
      </c>
      <c r="M26">
        <v>0</v>
      </c>
    </row>
    <row r="27" spans="1:13" x14ac:dyDescent="0.2">
      <c r="A27" t="s">
        <v>12</v>
      </c>
      <c r="B27" t="s">
        <v>64</v>
      </c>
      <c r="C27">
        <v>5</v>
      </c>
      <c r="D27" s="2">
        <v>0.6</v>
      </c>
      <c r="E27">
        <v>1.25</v>
      </c>
      <c r="F27" s="2">
        <v>0.6</v>
      </c>
      <c r="G27">
        <v>3</v>
      </c>
      <c r="H27">
        <v>2</v>
      </c>
      <c r="I27">
        <v>5</v>
      </c>
      <c r="J27">
        <v>4</v>
      </c>
      <c r="K27">
        <v>2</v>
      </c>
      <c r="L27">
        <v>0</v>
      </c>
      <c r="M27">
        <v>0</v>
      </c>
    </row>
    <row r="28" spans="1:13" x14ac:dyDescent="0.2">
      <c r="A28" t="s">
        <v>12</v>
      </c>
      <c r="B28" t="s">
        <v>65</v>
      </c>
      <c r="C28">
        <v>3</v>
      </c>
      <c r="D28" s="2">
        <v>0.33300000000000002</v>
      </c>
      <c r="E28">
        <v>2</v>
      </c>
      <c r="F28" s="2">
        <v>0.25</v>
      </c>
      <c r="G28">
        <v>1</v>
      </c>
      <c r="H28">
        <v>2</v>
      </c>
      <c r="I28">
        <v>4</v>
      </c>
      <c r="J28">
        <v>2</v>
      </c>
      <c r="K28">
        <v>0</v>
      </c>
      <c r="L28">
        <v>0</v>
      </c>
      <c r="M28">
        <v>0</v>
      </c>
    </row>
    <row r="29" spans="1:13" x14ac:dyDescent="0.2">
      <c r="A29" t="s">
        <v>12</v>
      </c>
      <c r="B29" t="s">
        <v>85</v>
      </c>
      <c r="C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12</v>
      </c>
      <c r="B30" t="s">
        <v>66</v>
      </c>
      <c r="C30">
        <v>3</v>
      </c>
      <c r="D30" s="2">
        <v>0.66700000000000004</v>
      </c>
      <c r="E30">
        <v>1.5</v>
      </c>
      <c r="F30" s="2">
        <v>0.66700000000000004</v>
      </c>
      <c r="G30">
        <v>2</v>
      </c>
      <c r="H30">
        <v>1</v>
      </c>
      <c r="I30">
        <v>3</v>
      </c>
      <c r="J30">
        <v>2</v>
      </c>
      <c r="K30">
        <v>0</v>
      </c>
      <c r="L30">
        <v>0</v>
      </c>
      <c r="M30">
        <v>0</v>
      </c>
    </row>
    <row r="31" spans="1:13" x14ac:dyDescent="0.2">
      <c r="A31" t="s">
        <v>12</v>
      </c>
      <c r="B31" t="s">
        <v>88</v>
      </c>
      <c r="C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12</v>
      </c>
      <c r="B32" t="s">
        <v>67</v>
      </c>
      <c r="C32">
        <v>2</v>
      </c>
      <c r="D32" s="2">
        <v>0.5</v>
      </c>
      <c r="E32">
        <v>0</v>
      </c>
      <c r="F32" s="2">
        <v>0</v>
      </c>
      <c r="G32">
        <v>1</v>
      </c>
      <c r="H32">
        <v>1</v>
      </c>
      <c r="I32">
        <v>0</v>
      </c>
      <c r="J32">
        <v>1</v>
      </c>
      <c r="K32">
        <v>2</v>
      </c>
      <c r="L32">
        <v>0</v>
      </c>
      <c r="M32">
        <v>0</v>
      </c>
    </row>
    <row r="33" spans="1:13" x14ac:dyDescent="0.2">
      <c r="A33" t="s">
        <v>12</v>
      </c>
      <c r="B33" t="s">
        <v>31</v>
      </c>
      <c r="C33">
        <v>2</v>
      </c>
      <c r="D33" s="2">
        <v>0.5</v>
      </c>
      <c r="E33">
        <v>0</v>
      </c>
      <c r="F33" s="2">
        <v>0</v>
      </c>
      <c r="G33">
        <v>1</v>
      </c>
      <c r="H33">
        <v>1</v>
      </c>
      <c r="I33">
        <v>0</v>
      </c>
      <c r="J33">
        <v>2</v>
      </c>
      <c r="K33">
        <v>1</v>
      </c>
      <c r="L33">
        <v>0</v>
      </c>
      <c r="M33">
        <v>0</v>
      </c>
    </row>
    <row r="34" spans="1:13" x14ac:dyDescent="0.2">
      <c r="A34" t="s">
        <v>12</v>
      </c>
      <c r="B34" t="s">
        <v>84</v>
      </c>
      <c r="C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A35" t="s">
        <v>12</v>
      </c>
      <c r="B35" t="s">
        <v>80</v>
      </c>
      <c r="C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">
      <c r="A36" t="s">
        <v>12</v>
      </c>
      <c r="B36" t="s">
        <v>79</v>
      </c>
      <c r="C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">
      <c r="A37" t="s">
        <v>12</v>
      </c>
      <c r="B37" t="s">
        <v>81</v>
      </c>
      <c r="C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">
      <c r="A38" t="s">
        <v>12</v>
      </c>
      <c r="B38" t="s">
        <v>68</v>
      </c>
      <c r="C38">
        <v>1</v>
      </c>
      <c r="D38" s="2">
        <v>0</v>
      </c>
      <c r="E38">
        <v>0</v>
      </c>
      <c r="F38" s="2">
        <v>0</v>
      </c>
      <c r="G38">
        <v>0</v>
      </c>
      <c r="H38">
        <v>1</v>
      </c>
      <c r="I38">
        <v>0</v>
      </c>
      <c r="J38">
        <v>1</v>
      </c>
      <c r="K38">
        <v>0</v>
      </c>
      <c r="L38">
        <v>0</v>
      </c>
      <c r="M38">
        <v>0</v>
      </c>
    </row>
    <row r="39" spans="1:13" x14ac:dyDescent="0.2">
      <c r="A39" t="s">
        <v>32</v>
      </c>
      <c r="B39" t="s">
        <v>36</v>
      </c>
      <c r="C39">
        <v>543</v>
      </c>
      <c r="D39" s="2">
        <v>0.45100000000000001</v>
      </c>
      <c r="E39">
        <v>0.96</v>
      </c>
      <c r="F39" s="2">
        <v>0.51700000000000002</v>
      </c>
      <c r="G39">
        <v>245</v>
      </c>
      <c r="H39">
        <v>298</v>
      </c>
      <c r="I39">
        <v>377</v>
      </c>
      <c r="J39">
        <v>394</v>
      </c>
      <c r="K39">
        <v>101</v>
      </c>
      <c r="L39">
        <v>2</v>
      </c>
      <c r="M39">
        <v>4</v>
      </c>
    </row>
    <row r="40" spans="1:13" x14ac:dyDescent="0.2">
      <c r="A40" t="s">
        <v>32</v>
      </c>
      <c r="B40" t="s">
        <v>35</v>
      </c>
      <c r="C40">
        <v>517</v>
      </c>
      <c r="D40" s="2">
        <v>0.46400000000000002</v>
      </c>
      <c r="E40">
        <v>0.94</v>
      </c>
      <c r="F40" s="2">
        <v>0.57899999999999996</v>
      </c>
      <c r="G40">
        <v>240</v>
      </c>
      <c r="H40">
        <v>277</v>
      </c>
      <c r="I40">
        <v>342</v>
      </c>
      <c r="J40">
        <v>364</v>
      </c>
      <c r="K40">
        <v>110</v>
      </c>
      <c r="L40">
        <v>0</v>
      </c>
      <c r="M40">
        <v>4</v>
      </c>
    </row>
    <row r="41" spans="1:13" x14ac:dyDescent="0.2">
      <c r="A41" t="s">
        <v>32</v>
      </c>
      <c r="B41" t="s">
        <v>37</v>
      </c>
      <c r="C41">
        <v>395</v>
      </c>
      <c r="D41" s="2">
        <v>0.50900000000000001</v>
      </c>
      <c r="E41">
        <v>0.95</v>
      </c>
      <c r="F41" s="2">
        <v>0.57099999999999995</v>
      </c>
      <c r="G41">
        <v>201</v>
      </c>
      <c r="H41">
        <v>194</v>
      </c>
      <c r="I41">
        <v>259</v>
      </c>
      <c r="J41">
        <v>274</v>
      </c>
      <c r="K41">
        <v>95</v>
      </c>
      <c r="L41">
        <v>0</v>
      </c>
      <c r="M41">
        <v>3</v>
      </c>
    </row>
    <row r="42" spans="1:13" x14ac:dyDescent="0.2">
      <c r="A42" t="s">
        <v>32</v>
      </c>
      <c r="B42" t="s">
        <v>40</v>
      </c>
      <c r="C42">
        <v>356</v>
      </c>
      <c r="D42" s="2">
        <v>0.497</v>
      </c>
      <c r="E42">
        <v>0.95</v>
      </c>
      <c r="F42" s="2">
        <v>0.41099999999999998</v>
      </c>
      <c r="G42">
        <v>177</v>
      </c>
      <c r="H42">
        <v>179</v>
      </c>
      <c r="I42">
        <v>180</v>
      </c>
      <c r="J42">
        <v>190</v>
      </c>
      <c r="K42">
        <v>52</v>
      </c>
      <c r="L42">
        <v>0</v>
      </c>
      <c r="M42">
        <v>4</v>
      </c>
    </row>
    <row r="43" spans="1:13" x14ac:dyDescent="0.2">
      <c r="A43" t="s">
        <v>32</v>
      </c>
      <c r="B43" t="s">
        <v>33</v>
      </c>
      <c r="C43">
        <v>254</v>
      </c>
      <c r="D43" s="2">
        <v>0.42499999999999999</v>
      </c>
      <c r="E43">
        <v>0.77</v>
      </c>
      <c r="F43" s="2">
        <v>0.58299999999999996</v>
      </c>
      <c r="G43">
        <v>108</v>
      </c>
      <c r="H43">
        <v>146</v>
      </c>
      <c r="I43">
        <v>139</v>
      </c>
      <c r="J43">
        <v>181</v>
      </c>
      <c r="K43">
        <v>43</v>
      </c>
      <c r="L43">
        <v>0</v>
      </c>
      <c r="M43">
        <v>1</v>
      </c>
    </row>
    <row r="44" spans="1:13" x14ac:dyDescent="0.2">
      <c r="A44" t="s">
        <v>32</v>
      </c>
      <c r="B44" t="s">
        <v>39</v>
      </c>
      <c r="C44">
        <v>202</v>
      </c>
      <c r="D44" s="2">
        <v>0.44600000000000001</v>
      </c>
      <c r="E44">
        <v>0.71</v>
      </c>
      <c r="F44" s="2">
        <v>0.34300000000000003</v>
      </c>
      <c r="G44">
        <v>90</v>
      </c>
      <c r="H44">
        <v>112</v>
      </c>
      <c r="I44">
        <v>99</v>
      </c>
      <c r="J44">
        <v>139</v>
      </c>
      <c r="K44">
        <v>41</v>
      </c>
      <c r="L44">
        <v>0</v>
      </c>
      <c r="M44">
        <v>0</v>
      </c>
    </row>
    <row r="45" spans="1:13" x14ac:dyDescent="0.2">
      <c r="A45" t="s">
        <v>32</v>
      </c>
      <c r="B45" t="s">
        <v>34</v>
      </c>
      <c r="C45">
        <v>158</v>
      </c>
      <c r="D45" s="2">
        <v>0.46800000000000003</v>
      </c>
      <c r="E45">
        <v>1.33</v>
      </c>
      <c r="F45" s="2">
        <v>0.495</v>
      </c>
      <c r="G45">
        <v>74</v>
      </c>
      <c r="H45">
        <v>84</v>
      </c>
      <c r="I45">
        <v>105</v>
      </c>
      <c r="J45">
        <v>79</v>
      </c>
      <c r="K45">
        <v>31</v>
      </c>
      <c r="L45">
        <v>0</v>
      </c>
      <c r="M45">
        <v>0</v>
      </c>
    </row>
    <row r="46" spans="1:13" x14ac:dyDescent="0.2">
      <c r="A46" t="s">
        <v>32</v>
      </c>
      <c r="B46" t="s">
        <v>42</v>
      </c>
      <c r="C46">
        <v>137</v>
      </c>
      <c r="D46" s="2">
        <v>0.47399999999999998</v>
      </c>
      <c r="E46">
        <v>1.01</v>
      </c>
      <c r="F46" s="2">
        <v>0.54500000000000004</v>
      </c>
      <c r="G46">
        <v>65</v>
      </c>
      <c r="H46">
        <v>72</v>
      </c>
      <c r="I46">
        <v>88</v>
      </c>
      <c r="J46">
        <v>87</v>
      </c>
      <c r="K46">
        <v>27</v>
      </c>
      <c r="L46">
        <v>0</v>
      </c>
      <c r="M46">
        <v>1</v>
      </c>
    </row>
    <row r="47" spans="1:13" x14ac:dyDescent="0.2">
      <c r="A47" t="s">
        <v>32</v>
      </c>
      <c r="B47" t="s">
        <v>48</v>
      </c>
      <c r="C47">
        <v>130</v>
      </c>
      <c r="D47" s="2">
        <v>0.49199999999999999</v>
      </c>
      <c r="E47">
        <v>0.81</v>
      </c>
      <c r="F47" s="2">
        <v>0.44600000000000001</v>
      </c>
      <c r="G47">
        <v>64</v>
      </c>
      <c r="H47">
        <v>66</v>
      </c>
      <c r="I47">
        <v>83</v>
      </c>
      <c r="J47">
        <v>103</v>
      </c>
      <c r="K47">
        <v>31</v>
      </c>
      <c r="L47">
        <v>0</v>
      </c>
      <c r="M47">
        <v>0</v>
      </c>
    </row>
    <row r="48" spans="1:13" x14ac:dyDescent="0.2">
      <c r="A48" t="s">
        <v>32</v>
      </c>
      <c r="B48" t="s">
        <v>38</v>
      </c>
      <c r="C48">
        <v>98</v>
      </c>
      <c r="D48" s="2">
        <v>0.44900000000000001</v>
      </c>
      <c r="E48">
        <v>1.33</v>
      </c>
      <c r="F48" s="2">
        <v>0.61599999999999999</v>
      </c>
      <c r="G48">
        <v>44</v>
      </c>
      <c r="H48">
        <v>54</v>
      </c>
      <c r="I48">
        <v>73</v>
      </c>
      <c r="J48">
        <v>55</v>
      </c>
      <c r="K48">
        <v>26</v>
      </c>
      <c r="L48">
        <v>0</v>
      </c>
      <c r="M48">
        <v>0</v>
      </c>
    </row>
    <row r="49" spans="1:13" x14ac:dyDescent="0.2">
      <c r="A49" t="s">
        <v>32</v>
      </c>
      <c r="B49" t="s">
        <v>69</v>
      </c>
      <c r="C49">
        <v>52</v>
      </c>
      <c r="D49" s="2">
        <v>0.42299999999999999</v>
      </c>
      <c r="E49">
        <v>0.74</v>
      </c>
      <c r="F49" s="2">
        <v>0.58599999999999997</v>
      </c>
      <c r="G49">
        <v>22</v>
      </c>
      <c r="H49">
        <v>30</v>
      </c>
      <c r="I49">
        <v>29</v>
      </c>
      <c r="J49">
        <v>39</v>
      </c>
      <c r="K49">
        <v>15</v>
      </c>
      <c r="L49">
        <v>0</v>
      </c>
      <c r="M49">
        <v>0</v>
      </c>
    </row>
    <row r="50" spans="1:13" x14ac:dyDescent="0.2">
      <c r="A50" t="s">
        <v>32</v>
      </c>
      <c r="B50" t="s">
        <v>41</v>
      </c>
      <c r="C50">
        <v>47</v>
      </c>
      <c r="D50" s="2">
        <v>0.42599999999999999</v>
      </c>
      <c r="E50">
        <v>1.07</v>
      </c>
      <c r="F50" s="2">
        <v>0.40600000000000003</v>
      </c>
      <c r="G50">
        <v>20</v>
      </c>
      <c r="H50">
        <v>27</v>
      </c>
      <c r="I50">
        <v>32</v>
      </c>
      <c r="J50">
        <v>30</v>
      </c>
      <c r="K50">
        <v>11</v>
      </c>
      <c r="L50">
        <v>0</v>
      </c>
      <c r="M50">
        <v>1</v>
      </c>
    </row>
    <row r="51" spans="1:13" x14ac:dyDescent="0.2">
      <c r="A51" t="s">
        <v>32</v>
      </c>
      <c r="B51" t="s">
        <v>70</v>
      </c>
      <c r="C51">
        <v>42</v>
      </c>
      <c r="D51" s="2">
        <v>0.66700000000000004</v>
      </c>
      <c r="E51">
        <v>0.77</v>
      </c>
      <c r="F51" s="2">
        <v>0.48099999999999998</v>
      </c>
      <c r="G51">
        <v>28</v>
      </c>
      <c r="H51">
        <v>14</v>
      </c>
      <c r="I51">
        <v>27</v>
      </c>
      <c r="J51">
        <v>35</v>
      </c>
      <c r="K51">
        <v>18</v>
      </c>
      <c r="L51">
        <v>0</v>
      </c>
      <c r="M51">
        <v>0</v>
      </c>
    </row>
    <row r="52" spans="1:13" x14ac:dyDescent="0.2">
      <c r="A52" t="s">
        <v>32</v>
      </c>
      <c r="B52" t="s">
        <v>51</v>
      </c>
      <c r="C52">
        <v>42</v>
      </c>
      <c r="D52" s="2">
        <v>0.40500000000000003</v>
      </c>
      <c r="E52">
        <v>0.47</v>
      </c>
      <c r="F52" s="2">
        <v>0.4</v>
      </c>
      <c r="G52">
        <v>17</v>
      </c>
      <c r="H52">
        <v>25</v>
      </c>
      <c r="I52">
        <v>15</v>
      </c>
      <c r="J52">
        <v>32</v>
      </c>
      <c r="K52">
        <v>5</v>
      </c>
      <c r="L52">
        <v>0</v>
      </c>
      <c r="M52">
        <v>0</v>
      </c>
    </row>
    <row r="53" spans="1:13" x14ac:dyDescent="0.2">
      <c r="A53" t="s">
        <v>32</v>
      </c>
      <c r="B53" t="s">
        <v>44</v>
      </c>
      <c r="C53">
        <v>35</v>
      </c>
      <c r="D53" s="2">
        <v>0.48599999999999999</v>
      </c>
      <c r="E53">
        <v>1.1000000000000001</v>
      </c>
      <c r="F53" s="2">
        <v>0.36399999999999999</v>
      </c>
      <c r="G53">
        <v>17</v>
      </c>
      <c r="H53">
        <v>18</v>
      </c>
      <c r="I53">
        <v>22</v>
      </c>
      <c r="J53">
        <v>20</v>
      </c>
      <c r="K53">
        <v>4</v>
      </c>
      <c r="L53">
        <v>0</v>
      </c>
      <c r="M53">
        <v>0</v>
      </c>
    </row>
    <row r="54" spans="1:13" x14ac:dyDescent="0.2">
      <c r="A54" t="s">
        <v>32</v>
      </c>
      <c r="B54" t="s">
        <v>43</v>
      </c>
      <c r="C54">
        <v>34</v>
      </c>
      <c r="D54" s="2">
        <v>0.441</v>
      </c>
      <c r="E54">
        <v>1.55</v>
      </c>
      <c r="F54" s="2">
        <v>0.51600000000000001</v>
      </c>
      <c r="G54">
        <v>15</v>
      </c>
      <c r="H54">
        <v>19</v>
      </c>
      <c r="I54">
        <v>31</v>
      </c>
      <c r="J54">
        <v>20</v>
      </c>
      <c r="K54">
        <v>4</v>
      </c>
      <c r="L54">
        <v>0</v>
      </c>
      <c r="M54">
        <v>0</v>
      </c>
    </row>
    <row r="55" spans="1:13" x14ac:dyDescent="0.2">
      <c r="A55" t="s">
        <v>32</v>
      </c>
      <c r="B55" t="s">
        <v>45</v>
      </c>
      <c r="C55">
        <v>33</v>
      </c>
      <c r="D55" s="2">
        <v>0.42399999999999999</v>
      </c>
      <c r="E55">
        <v>0.8</v>
      </c>
      <c r="F55" s="2">
        <v>0.375</v>
      </c>
      <c r="G55">
        <v>14</v>
      </c>
      <c r="H55">
        <v>19</v>
      </c>
      <c r="I55">
        <v>16</v>
      </c>
      <c r="J55">
        <v>20</v>
      </c>
      <c r="K55">
        <v>8</v>
      </c>
      <c r="L55">
        <v>0</v>
      </c>
      <c r="M55">
        <v>1</v>
      </c>
    </row>
    <row r="56" spans="1:13" x14ac:dyDescent="0.2">
      <c r="A56" t="s">
        <v>32</v>
      </c>
      <c r="B56" t="s">
        <v>49</v>
      </c>
      <c r="C56">
        <v>15</v>
      </c>
      <c r="D56" s="2">
        <v>0.33300000000000002</v>
      </c>
      <c r="E56">
        <v>0.83</v>
      </c>
      <c r="F56" s="2">
        <v>0.7</v>
      </c>
      <c r="G56">
        <v>5</v>
      </c>
      <c r="H56">
        <v>10</v>
      </c>
      <c r="I56">
        <v>10</v>
      </c>
      <c r="J56">
        <v>12</v>
      </c>
      <c r="K56">
        <v>1</v>
      </c>
      <c r="L56">
        <v>0</v>
      </c>
      <c r="M56">
        <v>0</v>
      </c>
    </row>
    <row r="57" spans="1:13" x14ac:dyDescent="0.2">
      <c r="A57" t="s">
        <v>32</v>
      </c>
      <c r="B57" t="s">
        <v>71</v>
      </c>
      <c r="C57">
        <v>12</v>
      </c>
      <c r="D57" s="2">
        <v>0.25</v>
      </c>
      <c r="E57">
        <v>0.18</v>
      </c>
      <c r="F57" s="2">
        <v>1</v>
      </c>
      <c r="G57">
        <v>3</v>
      </c>
      <c r="H57">
        <v>9</v>
      </c>
      <c r="I57">
        <v>2</v>
      </c>
      <c r="J57">
        <v>11</v>
      </c>
      <c r="K57">
        <v>3</v>
      </c>
      <c r="L57">
        <v>0</v>
      </c>
      <c r="M57">
        <v>0</v>
      </c>
    </row>
    <row r="58" spans="1:13" x14ac:dyDescent="0.2">
      <c r="A58" t="s">
        <v>32</v>
      </c>
      <c r="B58" t="s">
        <v>46</v>
      </c>
      <c r="C58">
        <v>12</v>
      </c>
      <c r="D58" s="2">
        <v>0.33300000000000002</v>
      </c>
      <c r="E58">
        <v>0.6</v>
      </c>
      <c r="F58" s="2">
        <v>0.66700000000000004</v>
      </c>
      <c r="G58">
        <v>4</v>
      </c>
      <c r="H58">
        <v>8</v>
      </c>
      <c r="I58">
        <v>6</v>
      </c>
      <c r="J58">
        <v>10</v>
      </c>
      <c r="K58">
        <v>2</v>
      </c>
      <c r="L58">
        <v>0</v>
      </c>
      <c r="M58">
        <v>0</v>
      </c>
    </row>
    <row r="59" spans="1:13" x14ac:dyDescent="0.2">
      <c r="A59" t="s">
        <v>32</v>
      </c>
      <c r="B59" t="s">
        <v>72</v>
      </c>
      <c r="C59">
        <v>11</v>
      </c>
      <c r="D59" s="2">
        <v>0.63600000000000001</v>
      </c>
      <c r="E59">
        <v>0.38</v>
      </c>
      <c r="F59" s="2">
        <v>0.33300000000000002</v>
      </c>
      <c r="G59">
        <v>7</v>
      </c>
      <c r="H59">
        <v>4</v>
      </c>
      <c r="I59">
        <v>3</v>
      </c>
      <c r="J59">
        <v>8</v>
      </c>
      <c r="K59">
        <v>1</v>
      </c>
      <c r="L59">
        <v>0</v>
      </c>
      <c r="M59">
        <v>0</v>
      </c>
    </row>
    <row r="60" spans="1:13" x14ac:dyDescent="0.2">
      <c r="A60" t="s">
        <v>32</v>
      </c>
      <c r="B60" t="s">
        <v>52</v>
      </c>
      <c r="C60">
        <v>8</v>
      </c>
      <c r="D60" s="2">
        <v>0.25</v>
      </c>
      <c r="E60">
        <v>0.33</v>
      </c>
      <c r="F60" s="2">
        <v>0.5</v>
      </c>
      <c r="G60">
        <v>2</v>
      </c>
      <c r="H60">
        <v>6</v>
      </c>
      <c r="I60">
        <v>2</v>
      </c>
      <c r="J60">
        <v>6</v>
      </c>
      <c r="K60">
        <v>1</v>
      </c>
      <c r="L60">
        <v>0</v>
      </c>
      <c r="M60">
        <v>0</v>
      </c>
    </row>
    <row r="61" spans="1:13" x14ac:dyDescent="0.2">
      <c r="A61" t="s">
        <v>32</v>
      </c>
      <c r="B61" t="s">
        <v>53</v>
      </c>
      <c r="C61">
        <v>8</v>
      </c>
      <c r="D61" s="2">
        <v>0.375</v>
      </c>
      <c r="E61">
        <v>0</v>
      </c>
      <c r="F61" s="2">
        <v>0</v>
      </c>
      <c r="G61">
        <v>3</v>
      </c>
      <c r="H61">
        <v>5</v>
      </c>
      <c r="I61">
        <v>0</v>
      </c>
      <c r="J61">
        <v>6</v>
      </c>
      <c r="K61">
        <v>0</v>
      </c>
      <c r="L61">
        <v>0</v>
      </c>
      <c r="M61">
        <v>0</v>
      </c>
    </row>
    <row r="62" spans="1:13" x14ac:dyDescent="0.2">
      <c r="A62" t="s">
        <v>32</v>
      </c>
      <c r="B62" t="s">
        <v>47</v>
      </c>
      <c r="C62">
        <v>7</v>
      </c>
      <c r="D62" s="2">
        <v>0.42899999999999999</v>
      </c>
      <c r="E62">
        <v>0.2</v>
      </c>
      <c r="F62" s="2">
        <v>0</v>
      </c>
      <c r="G62">
        <v>3</v>
      </c>
      <c r="H62">
        <v>4</v>
      </c>
      <c r="I62">
        <v>1</v>
      </c>
      <c r="J62">
        <v>5</v>
      </c>
      <c r="K62">
        <v>2</v>
      </c>
      <c r="L62">
        <v>0</v>
      </c>
      <c r="M62">
        <v>0</v>
      </c>
    </row>
    <row r="63" spans="1:13" x14ac:dyDescent="0.2">
      <c r="A63" t="s">
        <v>32</v>
      </c>
      <c r="B63" t="s">
        <v>54</v>
      </c>
      <c r="C63">
        <v>6</v>
      </c>
      <c r="D63" s="2">
        <v>0.33300000000000002</v>
      </c>
      <c r="E63">
        <v>0.17</v>
      </c>
      <c r="F63" s="2">
        <v>1</v>
      </c>
      <c r="G63">
        <v>2</v>
      </c>
      <c r="H63">
        <v>4</v>
      </c>
      <c r="I63">
        <v>1</v>
      </c>
      <c r="J63">
        <v>6</v>
      </c>
      <c r="K63">
        <v>2</v>
      </c>
      <c r="L63">
        <v>0</v>
      </c>
      <c r="M63">
        <v>0</v>
      </c>
    </row>
    <row r="64" spans="1:13" x14ac:dyDescent="0.2">
      <c r="A64" t="s">
        <v>32</v>
      </c>
      <c r="B64" t="s">
        <v>73</v>
      </c>
      <c r="C64">
        <v>6</v>
      </c>
      <c r="D64" s="2">
        <v>0.33300000000000002</v>
      </c>
      <c r="E64">
        <v>0.2</v>
      </c>
      <c r="F64" s="2">
        <v>1</v>
      </c>
      <c r="G64">
        <v>2</v>
      </c>
      <c r="H64">
        <v>4</v>
      </c>
      <c r="I64">
        <v>1</v>
      </c>
      <c r="J64">
        <v>5</v>
      </c>
      <c r="K64">
        <v>4</v>
      </c>
      <c r="L64">
        <v>0</v>
      </c>
      <c r="M64">
        <v>0</v>
      </c>
    </row>
    <row r="65" spans="1:13" x14ac:dyDescent="0.2">
      <c r="A65" t="s">
        <v>32</v>
      </c>
      <c r="B65" t="s">
        <v>50</v>
      </c>
      <c r="C65">
        <v>4</v>
      </c>
      <c r="D65" s="2">
        <v>0.75</v>
      </c>
      <c r="E65">
        <v>3</v>
      </c>
      <c r="F65" s="2">
        <v>0.66700000000000004</v>
      </c>
      <c r="G65">
        <v>3</v>
      </c>
      <c r="H65">
        <v>1</v>
      </c>
      <c r="I65">
        <v>3</v>
      </c>
      <c r="J65">
        <v>1</v>
      </c>
      <c r="K65">
        <v>0</v>
      </c>
      <c r="L65">
        <v>0</v>
      </c>
      <c r="M65">
        <v>0</v>
      </c>
    </row>
    <row r="66" spans="1:13" x14ac:dyDescent="0.2">
      <c r="A66" t="s">
        <v>32</v>
      </c>
      <c r="B66" t="s">
        <v>74</v>
      </c>
      <c r="C66">
        <v>4</v>
      </c>
      <c r="D66" s="2">
        <v>0.5</v>
      </c>
      <c r="E66">
        <v>1</v>
      </c>
      <c r="F66" s="2">
        <v>0.33300000000000002</v>
      </c>
      <c r="G66">
        <v>2</v>
      </c>
      <c r="H66">
        <v>2</v>
      </c>
      <c r="I66">
        <v>3</v>
      </c>
      <c r="J66">
        <v>3</v>
      </c>
      <c r="K66">
        <v>1</v>
      </c>
      <c r="L66">
        <v>0</v>
      </c>
      <c r="M66">
        <v>0</v>
      </c>
    </row>
    <row r="67" spans="1:13" x14ac:dyDescent="0.2">
      <c r="A67" t="s">
        <v>32</v>
      </c>
      <c r="B67" t="s">
        <v>75</v>
      </c>
      <c r="C67">
        <v>2</v>
      </c>
      <c r="D67" s="2">
        <v>0</v>
      </c>
      <c r="E67">
        <v>0</v>
      </c>
      <c r="F67" s="2">
        <v>0</v>
      </c>
      <c r="G67">
        <v>0</v>
      </c>
      <c r="H67">
        <v>2</v>
      </c>
      <c r="I67">
        <v>0</v>
      </c>
      <c r="J67">
        <v>2</v>
      </c>
      <c r="K67">
        <v>2</v>
      </c>
      <c r="L67">
        <v>0</v>
      </c>
      <c r="M67">
        <v>0</v>
      </c>
    </row>
    <row r="68" spans="1:13" x14ac:dyDescent="0.2">
      <c r="A68" t="s">
        <v>32</v>
      </c>
      <c r="B68" t="s">
        <v>76</v>
      </c>
      <c r="C68">
        <v>1</v>
      </c>
      <c r="D68" s="2">
        <v>1</v>
      </c>
      <c r="E68">
        <v>0</v>
      </c>
      <c r="F68" s="2">
        <v>0</v>
      </c>
      <c r="G68">
        <v>1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</row>
    <row r="69" spans="1:13" x14ac:dyDescent="0.2">
      <c r="A69" t="s">
        <v>32</v>
      </c>
      <c r="B69" t="s">
        <v>77</v>
      </c>
      <c r="C69">
        <v>1</v>
      </c>
      <c r="D69" s="2">
        <v>1</v>
      </c>
      <c r="E69">
        <v>0</v>
      </c>
      <c r="F69" s="2">
        <v>0</v>
      </c>
      <c r="G69">
        <v>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t="s">
        <v>32</v>
      </c>
      <c r="B70" t="s">
        <v>55</v>
      </c>
      <c r="C70">
        <v>1</v>
      </c>
      <c r="D70" s="2">
        <v>1</v>
      </c>
      <c r="E70">
        <v>0</v>
      </c>
      <c r="F70" s="2">
        <v>0</v>
      </c>
      <c r="G70">
        <v>1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</row>
    <row r="71" spans="1:13" x14ac:dyDescent="0.2">
      <c r="A71" t="s">
        <v>32</v>
      </c>
      <c r="B71" t="s">
        <v>78</v>
      </c>
      <c r="C71">
        <v>1</v>
      </c>
      <c r="D71" s="2">
        <v>1</v>
      </c>
      <c r="E71">
        <v>0</v>
      </c>
      <c r="F71" s="2">
        <v>0</v>
      </c>
      <c r="G71">
        <v>1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</row>
    <row r="72" spans="1:13" x14ac:dyDescent="0.2">
      <c r="A72" t="s">
        <v>32</v>
      </c>
      <c r="B72" t="s">
        <v>83</v>
      </c>
      <c r="C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t="s">
        <v>32</v>
      </c>
      <c r="B73" t="s">
        <v>86</v>
      </c>
      <c r="C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s="3" t="s">
        <v>32</v>
      </c>
      <c r="B74" s="3" t="s">
        <v>87</v>
      </c>
      <c r="C74" s="3">
        <v>0</v>
      </c>
      <c r="D74" s="3"/>
      <c r="E74" s="3"/>
      <c r="F74" s="3"/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1:13" x14ac:dyDescent="0.2">
      <c r="A75" t="s">
        <v>32</v>
      </c>
      <c r="B75" t="s">
        <v>89</v>
      </c>
      <c r="C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B3690-5B1B-CC44-9CDB-BD337F302DC9}">
  <dimension ref="A1:M42"/>
  <sheetViews>
    <sheetView workbookViewId="0">
      <selection activeCell="P23" sqref="P23"/>
    </sheetView>
  </sheetViews>
  <sheetFormatPr baseColWidth="10" defaultRowHeight="16" x14ac:dyDescent="0.2"/>
  <sheetData>
    <row r="1" spans="1:13" x14ac:dyDescent="0.2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23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 t="s">
        <v>13</v>
      </c>
      <c r="C2">
        <v>389</v>
      </c>
      <c r="D2" s="2">
        <v>0.57799999999999996</v>
      </c>
      <c r="E2">
        <v>1.36</v>
      </c>
      <c r="F2" s="2">
        <v>0.27200000000000002</v>
      </c>
      <c r="G2">
        <v>225</v>
      </c>
      <c r="H2">
        <v>164</v>
      </c>
      <c r="I2">
        <v>331</v>
      </c>
      <c r="J2">
        <v>243</v>
      </c>
      <c r="K2">
        <v>166</v>
      </c>
      <c r="L2">
        <v>0</v>
      </c>
      <c r="M2">
        <v>1</v>
      </c>
    </row>
    <row r="3" spans="1:13" x14ac:dyDescent="0.2">
      <c r="A3" t="s">
        <v>12</v>
      </c>
      <c r="B3" t="s">
        <v>14</v>
      </c>
      <c r="C3">
        <v>177</v>
      </c>
      <c r="D3" s="2">
        <v>0.55900000000000005</v>
      </c>
      <c r="E3">
        <v>1.35</v>
      </c>
      <c r="F3" s="2">
        <v>0.26600000000000001</v>
      </c>
      <c r="G3">
        <v>99</v>
      </c>
      <c r="H3">
        <v>78</v>
      </c>
      <c r="I3">
        <v>143</v>
      </c>
      <c r="J3">
        <v>106</v>
      </c>
      <c r="K3">
        <v>48</v>
      </c>
      <c r="L3">
        <v>0</v>
      </c>
      <c r="M3">
        <v>0</v>
      </c>
    </row>
    <row r="4" spans="1:13" x14ac:dyDescent="0.2">
      <c r="A4" t="s">
        <v>12</v>
      </c>
      <c r="B4" t="s">
        <v>15</v>
      </c>
      <c r="C4">
        <v>166</v>
      </c>
      <c r="D4" s="2">
        <v>0.59599999999999997</v>
      </c>
      <c r="E4">
        <v>0.69</v>
      </c>
      <c r="F4" s="2">
        <v>0.65300000000000002</v>
      </c>
      <c r="G4">
        <v>99</v>
      </c>
      <c r="H4">
        <v>67</v>
      </c>
      <c r="I4">
        <v>72</v>
      </c>
      <c r="J4">
        <v>104</v>
      </c>
      <c r="K4">
        <v>44</v>
      </c>
      <c r="L4">
        <v>0</v>
      </c>
      <c r="M4">
        <v>1</v>
      </c>
    </row>
    <row r="5" spans="1:13" x14ac:dyDescent="0.2">
      <c r="A5" t="s">
        <v>12</v>
      </c>
      <c r="B5" t="s">
        <v>16</v>
      </c>
      <c r="C5">
        <v>62</v>
      </c>
      <c r="D5" s="2">
        <v>0.67700000000000005</v>
      </c>
      <c r="E5">
        <v>0.7</v>
      </c>
      <c r="F5" s="2">
        <v>0.57099999999999995</v>
      </c>
      <c r="G5">
        <v>42</v>
      </c>
      <c r="H5">
        <v>20</v>
      </c>
      <c r="I5">
        <v>21</v>
      </c>
      <c r="J5">
        <v>30</v>
      </c>
      <c r="K5">
        <v>3</v>
      </c>
      <c r="L5">
        <v>0</v>
      </c>
      <c r="M5">
        <v>0</v>
      </c>
    </row>
    <row r="6" spans="1:13" x14ac:dyDescent="0.2">
      <c r="A6" t="s">
        <v>12</v>
      </c>
      <c r="B6" t="s">
        <v>17</v>
      </c>
      <c r="C6">
        <v>37</v>
      </c>
      <c r="D6" s="2">
        <v>0.48599999999999999</v>
      </c>
      <c r="E6">
        <v>1</v>
      </c>
      <c r="F6" s="2">
        <v>0.435</v>
      </c>
      <c r="G6">
        <v>18</v>
      </c>
      <c r="H6">
        <v>19</v>
      </c>
      <c r="I6">
        <v>23</v>
      </c>
      <c r="J6">
        <v>23</v>
      </c>
      <c r="K6">
        <v>9</v>
      </c>
      <c r="L6">
        <v>0</v>
      </c>
      <c r="M6">
        <v>0</v>
      </c>
    </row>
    <row r="7" spans="1:13" x14ac:dyDescent="0.2">
      <c r="A7" t="s">
        <v>12</v>
      </c>
      <c r="B7" t="s">
        <v>18</v>
      </c>
      <c r="C7">
        <v>36</v>
      </c>
      <c r="D7" s="2">
        <v>0.52800000000000002</v>
      </c>
      <c r="E7">
        <v>0.87</v>
      </c>
      <c r="F7" s="2">
        <v>0.6</v>
      </c>
      <c r="G7">
        <v>19</v>
      </c>
      <c r="H7">
        <v>17</v>
      </c>
      <c r="I7">
        <v>20</v>
      </c>
      <c r="J7">
        <v>23</v>
      </c>
      <c r="K7">
        <v>5</v>
      </c>
      <c r="L7">
        <v>0</v>
      </c>
      <c r="M7">
        <v>0</v>
      </c>
    </row>
    <row r="8" spans="1:13" x14ac:dyDescent="0.2">
      <c r="A8" t="s">
        <v>12</v>
      </c>
      <c r="B8" t="s">
        <v>19</v>
      </c>
      <c r="C8">
        <v>25</v>
      </c>
      <c r="D8" s="2">
        <v>0.48</v>
      </c>
      <c r="E8">
        <v>1</v>
      </c>
      <c r="F8" s="2">
        <v>0.23499999999999999</v>
      </c>
      <c r="G8">
        <v>12</v>
      </c>
      <c r="H8">
        <v>13</v>
      </c>
      <c r="I8">
        <v>17</v>
      </c>
      <c r="J8">
        <v>17</v>
      </c>
      <c r="K8">
        <v>1</v>
      </c>
      <c r="L8">
        <v>0</v>
      </c>
      <c r="M8">
        <v>0</v>
      </c>
    </row>
    <row r="9" spans="1:13" x14ac:dyDescent="0.2">
      <c r="A9" t="s">
        <v>12</v>
      </c>
      <c r="B9" t="s">
        <v>20</v>
      </c>
      <c r="C9">
        <v>21</v>
      </c>
      <c r="D9" s="2">
        <v>0.28599999999999998</v>
      </c>
      <c r="E9">
        <v>0.75</v>
      </c>
      <c r="F9" s="2">
        <v>0.66700000000000004</v>
      </c>
      <c r="G9">
        <v>6</v>
      </c>
      <c r="H9">
        <v>15</v>
      </c>
      <c r="I9">
        <v>12</v>
      </c>
      <c r="J9">
        <v>16</v>
      </c>
      <c r="K9">
        <v>5</v>
      </c>
      <c r="L9">
        <v>0</v>
      </c>
      <c r="M9">
        <v>0</v>
      </c>
    </row>
    <row r="10" spans="1:13" x14ac:dyDescent="0.2">
      <c r="A10" t="s">
        <v>12</v>
      </c>
      <c r="B10" t="s">
        <v>21</v>
      </c>
      <c r="C10">
        <v>11</v>
      </c>
      <c r="D10" s="2">
        <v>0.27300000000000002</v>
      </c>
      <c r="E10">
        <v>0.89</v>
      </c>
      <c r="F10" s="2">
        <v>0.625</v>
      </c>
      <c r="G10">
        <v>3</v>
      </c>
      <c r="H10">
        <v>8</v>
      </c>
      <c r="I10">
        <v>8</v>
      </c>
      <c r="J10">
        <v>9</v>
      </c>
      <c r="K10">
        <v>2</v>
      </c>
      <c r="L10">
        <v>0</v>
      </c>
      <c r="M10">
        <v>0</v>
      </c>
    </row>
    <row r="11" spans="1:13" x14ac:dyDescent="0.2">
      <c r="A11" t="s">
        <v>12</v>
      </c>
      <c r="B11" t="s">
        <v>22</v>
      </c>
      <c r="C11">
        <v>11</v>
      </c>
      <c r="D11" s="2">
        <v>0.45500000000000002</v>
      </c>
      <c r="E11">
        <v>0.83</v>
      </c>
      <c r="F11" s="2">
        <v>0.2</v>
      </c>
      <c r="G11">
        <v>5</v>
      </c>
      <c r="H11">
        <v>6</v>
      </c>
      <c r="I11">
        <v>5</v>
      </c>
      <c r="J11">
        <v>6</v>
      </c>
      <c r="K11">
        <v>2</v>
      </c>
      <c r="L11">
        <v>0</v>
      </c>
      <c r="M11">
        <v>0</v>
      </c>
    </row>
    <row r="12" spans="1:13" x14ac:dyDescent="0.2">
      <c r="A12" t="s">
        <v>12</v>
      </c>
      <c r="B12" t="s">
        <v>24</v>
      </c>
      <c r="C12">
        <v>10</v>
      </c>
      <c r="D12" s="2">
        <v>0.5</v>
      </c>
      <c r="E12">
        <v>0.83</v>
      </c>
      <c r="F12" s="2">
        <v>0.2</v>
      </c>
      <c r="G12">
        <v>5</v>
      </c>
      <c r="H12">
        <v>5</v>
      </c>
      <c r="I12">
        <v>5</v>
      </c>
      <c r="J12">
        <v>6</v>
      </c>
      <c r="K12">
        <v>1</v>
      </c>
      <c r="L12">
        <v>0</v>
      </c>
      <c r="M12">
        <v>0</v>
      </c>
    </row>
    <row r="13" spans="1:13" x14ac:dyDescent="0.2">
      <c r="A13" t="s">
        <v>12</v>
      </c>
      <c r="B13" t="s">
        <v>25</v>
      </c>
      <c r="C13">
        <v>8</v>
      </c>
      <c r="D13" s="2">
        <v>0.375</v>
      </c>
      <c r="E13">
        <v>1.33</v>
      </c>
      <c r="F13" s="2">
        <v>0.125</v>
      </c>
      <c r="G13">
        <v>3</v>
      </c>
      <c r="H13">
        <v>5</v>
      </c>
      <c r="I13">
        <v>8</v>
      </c>
      <c r="J13">
        <v>6</v>
      </c>
      <c r="K13">
        <v>3</v>
      </c>
      <c r="L13">
        <v>0</v>
      </c>
      <c r="M13">
        <v>0</v>
      </c>
    </row>
    <row r="14" spans="1:13" x14ac:dyDescent="0.2">
      <c r="A14" t="s">
        <v>12</v>
      </c>
      <c r="B14" t="s">
        <v>26</v>
      </c>
      <c r="C14">
        <v>7</v>
      </c>
      <c r="D14" s="2">
        <v>0.57099999999999995</v>
      </c>
      <c r="E14">
        <v>1.5</v>
      </c>
      <c r="F14" s="2">
        <v>0.5</v>
      </c>
      <c r="G14">
        <v>4</v>
      </c>
      <c r="H14">
        <v>3</v>
      </c>
      <c r="I14">
        <v>6</v>
      </c>
      <c r="J14">
        <v>4</v>
      </c>
      <c r="K14">
        <v>0</v>
      </c>
      <c r="L14">
        <v>0</v>
      </c>
      <c r="M14">
        <v>0</v>
      </c>
    </row>
    <row r="15" spans="1:13" x14ac:dyDescent="0.2">
      <c r="A15" t="s">
        <v>12</v>
      </c>
      <c r="B15" t="s">
        <v>27</v>
      </c>
      <c r="C15">
        <v>6</v>
      </c>
      <c r="D15" s="2">
        <v>0.33300000000000002</v>
      </c>
      <c r="E15">
        <v>0.4</v>
      </c>
      <c r="F15" s="2">
        <v>0</v>
      </c>
      <c r="G15">
        <v>2</v>
      </c>
      <c r="H15">
        <v>4</v>
      </c>
      <c r="I15">
        <v>2</v>
      </c>
      <c r="J15">
        <v>5</v>
      </c>
      <c r="K15">
        <v>1</v>
      </c>
      <c r="L15">
        <v>0</v>
      </c>
      <c r="M15">
        <v>0</v>
      </c>
    </row>
    <row r="16" spans="1:13" x14ac:dyDescent="0.2">
      <c r="A16" t="s">
        <v>12</v>
      </c>
      <c r="B16" t="s">
        <v>28</v>
      </c>
      <c r="C16">
        <v>4</v>
      </c>
      <c r="D16" s="2">
        <v>0.25</v>
      </c>
      <c r="E16">
        <v>0</v>
      </c>
      <c r="F16" s="2">
        <v>0</v>
      </c>
      <c r="G16">
        <v>1</v>
      </c>
      <c r="H16">
        <v>3</v>
      </c>
      <c r="I16">
        <v>0</v>
      </c>
      <c r="J16">
        <v>4</v>
      </c>
      <c r="K16">
        <v>1</v>
      </c>
      <c r="L16">
        <v>0</v>
      </c>
      <c r="M16">
        <v>0</v>
      </c>
    </row>
    <row r="17" spans="1:13" x14ac:dyDescent="0.2">
      <c r="A17" t="s">
        <v>12</v>
      </c>
      <c r="B17" t="s">
        <v>29</v>
      </c>
      <c r="C17">
        <v>2</v>
      </c>
      <c r="D17" s="2">
        <v>0</v>
      </c>
      <c r="E17">
        <v>1</v>
      </c>
      <c r="F17" s="2">
        <v>0</v>
      </c>
      <c r="G17">
        <v>0</v>
      </c>
      <c r="H17">
        <v>2</v>
      </c>
      <c r="I17">
        <v>2</v>
      </c>
      <c r="J17">
        <v>2</v>
      </c>
      <c r="K17">
        <v>2</v>
      </c>
      <c r="L17">
        <v>0</v>
      </c>
      <c r="M17">
        <v>0</v>
      </c>
    </row>
    <row r="18" spans="1:13" x14ac:dyDescent="0.2">
      <c r="A18" t="s">
        <v>12</v>
      </c>
      <c r="B18" t="s">
        <v>30</v>
      </c>
      <c r="C18">
        <v>2</v>
      </c>
      <c r="D18" s="2">
        <v>0.5</v>
      </c>
      <c r="E18">
        <v>0</v>
      </c>
      <c r="F18" s="2">
        <v>0</v>
      </c>
      <c r="G18">
        <v>1</v>
      </c>
      <c r="H18">
        <v>1</v>
      </c>
      <c r="I18">
        <v>0</v>
      </c>
      <c r="J18">
        <v>2</v>
      </c>
      <c r="K18">
        <v>0</v>
      </c>
      <c r="L18">
        <v>0</v>
      </c>
      <c r="M18">
        <v>0</v>
      </c>
    </row>
    <row r="19" spans="1:13" x14ac:dyDescent="0.2">
      <c r="A19" t="s">
        <v>12</v>
      </c>
      <c r="B19" t="s">
        <v>31</v>
      </c>
      <c r="C19">
        <v>1</v>
      </c>
      <c r="D19" s="2">
        <v>0</v>
      </c>
      <c r="E19">
        <v>0</v>
      </c>
      <c r="F19" s="2">
        <v>0</v>
      </c>
      <c r="G19">
        <v>0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</row>
    <row r="20" spans="1:13" x14ac:dyDescent="0.2">
      <c r="A20" t="s">
        <v>32</v>
      </c>
      <c r="B20" t="s">
        <v>33</v>
      </c>
      <c r="C20">
        <v>162</v>
      </c>
      <c r="D20" s="2">
        <v>0.46899999999999997</v>
      </c>
      <c r="E20">
        <v>0.94</v>
      </c>
      <c r="F20" s="2">
        <v>0.59799999999999998</v>
      </c>
      <c r="G20">
        <v>76</v>
      </c>
      <c r="H20">
        <v>86</v>
      </c>
      <c r="I20">
        <v>102</v>
      </c>
      <c r="J20">
        <v>108</v>
      </c>
      <c r="K20">
        <v>26</v>
      </c>
      <c r="L20">
        <v>0</v>
      </c>
      <c r="M20">
        <v>1</v>
      </c>
    </row>
    <row r="21" spans="1:13" x14ac:dyDescent="0.2">
      <c r="A21" t="s">
        <v>32</v>
      </c>
      <c r="B21" t="s">
        <v>34</v>
      </c>
      <c r="C21">
        <v>148</v>
      </c>
      <c r="D21" s="2">
        <v>0.46600000000000003</v>
      </c>
      <c r="E21">
        <v>1.31</v>
      </c>
      <c r="F21" s="2">
        <v>0.495</v>
      </c>
      <c r="G21">
        <v>69</v>
      </c>
      <c r="H21">
        <v>79</v>
      </c>
      <c r="I21">
        <v>97</v>
      </c>
      <c r="J21">
        <v>74</v>
      </c>
      <c r="K21">
        <v>27</v>
      </c>
      <c r="L21">
        <v>0</v>
      </c>
      <c r="M21">
        <v>0</v>
      </c>
    </row>
    <row r="22" spans="1:13" x14ac:dyDescent="0.2">
      <c r="A22" t="s">
        <v>32</v>
      </c>
      <c r="B22" t="s">
        <v>35</v>
      </c>
      <c r="C22">
        <v>136</v>
      </c>
      <c r="D22" s="2">
        <v>0.5</v>
      </c>
      <c r="E22">
        <v>0.99</v>
      </c>
      <c r="F22" s="2">
        <v>0.59299999999999997</v>
      </c>
      <c r="G22">
        <v>68</v>
      </c>
      <c r="H22">
        <v>68</v>
      </c>
      <c r="I22">
        <v>86</v>
      </c>
      <c r="J22">
        <v>87</v>
      </c>
      <c r="K22">
        <v>30</v>
      </c>
      <c r="L22">
        <v>0</v>
      </c>
      <c r="M22">
        <v>0</v>
      </c>
    </row>
    <row r="23" spans="1:13" x14ac:dyDescent="0.2">
      <c r="A23" t="s">
        <v>32</v>
      </c>
      <c r="B23" t="s">
        <v>36</v>
      </c>
      <c r="C23">
        <v>93</v>
      </c>
      <c r="D23" s="2">
        <v>0.39800000000000002</v>
      </c>
      <c r="E23">
        <v>0.73</v>
      </c>
      <c r="F23" s="2">
        <v>0.442</v>
      </c>
      <c r="G23">
        <v>37</v>
      </c>
      <c r="H23">
        <v>56</v>
      </c>
      <c r="I23">
        <v>52</v>
      </c>
      <c r="J23">
        <v>71</v>
      </c>
      <c r="K23">
        <v>21</v>
      </c>
      <c r="L23">
        <v>0</v>
      </c>
      <c r="M23">
        <v>0</v>
      </c>
    </row>
    <row r="24" spans="1:13" x14ac:dyDescent="0.2">
      <c r="A24" t="s">
        <v>32</v>
      </c>
      <c r="B24" t="s">
        <v>37</v>
      </c>
      <c r="C24">
        <v>92</v>
      </c>
      <c r="D24" s="2">
        <v>0.56499999999999995</v>
      </c>
      <c r="E24">
        <v>1.03</v>
      </c>
      <c r="F24" s="2">
        <v>0.41699999999999998</v>
      </c>
      <c r="G24">
        <v>52</v>
      </c>
      <c r="H24">
        <v>40</v>
      </c>
      <c r="I24">
        <v>60</v>
      </c>
      <c r="J24">
        <v>58</v>
      </c>
      <c r="K24">
        <v>27</v>
      </c>
      <c r="L24">
        <v>0</v>
      </c>
      <c r="M24">
        <v>0</v>
      </c>
    </row>
    <row r="25" spans="1:13" x14ac:dyDescent="0.2">
      <c r="A25" t="s">
        <v>32</v>
      </c>
      <c r="B25" t="s">
        <v>38</v>
      </c>
      <c r="C25">
        <v>81</v>
      </c>
      <c r="D25" s="2">
        <v>0.44400000000000001</v>
      </c>
      <c r="E25">
        <v>1.23</v>
      </c>
      <c r="F25" s="2">
        <v>0.61099999999999999</v>
      </c>
      <c r="G25">
        <v>36</v>
      </c>
      <c r="H25">
        <v>45</v>
      </c>
      <c r="I25">
        <v>54</v>
      </c>
      <c r="J25">
        <v>44</v>
      </c>
      <c r="K25">
        <v>21</v>
      </c>
      <c r="L25">
        <v>0</v>
      </c>
      <c r="M25">
        <v>0</v>
      </c>
    </row>
    <row r="26" spans="1:13" x14ac:dyDescent="0.2">
      <c r="A26" t="s">
        <v>32</v>
      </c>
      <c r="B26" t="s">
        <v>39</v>
      </c>
      <c r="C26">
        <v>67</v>
      </c>
      <c r="D26" s="2">
        <v>0.41799999999999998</v>
      </c>
      <c r="E26">
        <v>0.93</v>
      </c>
      <c r="F26" s="2">
        <v>0.23699999999999999</v>
      </c>
      <c r="G26">
        <v>28</v>
      </c>
      <c r="H26">
        <v>39</v>
      </c>
      <c r="I26">
        <v>38</v>
      </c>
      <c r="J26">
        <v>41</v>
      </c>
      <c r="K26">
        <v>9</v>
      </c>
      <c r="L26">
        <v>0</v>
      </c>
      <c r="M26">
        <v>0</v>
      </c>
    </row>
    <row r="27" spans="1:13" x14ac:dyDescent="0.2">
      <c r="A27" t="s">
        <v>32</v>
      </c>
      <c r="B27" t="s">
        <v>40</v>
      </c>
      <c r="C27">
        <v>45</v>
      </c>
      <c r="D27" s="2">
        <v>0.42199999999999999</v>
      </c>
      <c r="E27">
        <v>0.74</v>
      </c>
      <c r="F27" s="2">
        <v>0.4</v>
      </c>
      <c r="G27">
        <v>19</v>
      </c>
      <c r="H27">
        <v>26</v>
      </c>
      <c r="I27">
        <v>20</v>
      </c>
      <c r="J27">
        <v>27</v>
      </c>
      <c r="K27">
        <v>8</v>
      </c>
      <c r="L27">
        <v>0</v>
      </c>
      <c r="M27">
        <v>2</v>
      </c>
    </row>
    <row r="28" spans="1:13" x14ac:dyDescent="0.2">
      <c r="A28" t="s">
        <v>32</v>
      </c>
      <c r="B28" t="s">
        <v>41</v>
      </c>
      <c r="C28">
        <v>44</v>
      </c>
      <c r="D28" s="2">
        <v>0.40899999999999997</v>
      </c>
      <c r="E28">
        <v>0.9</v>
      </c>
      <c r="F28" s="2">
        <v>0.42299999999999999</v>
      </c>
      <c r="G28">
        <v>18</v>
      </c>
      <c r="H28">
        <v>26</v>
      </c>
      <c r="I28">
        <v>26</v>
      </c>
      <c r="J28">
        <v>29</v>
      </c>
      <c r="K28">
        <v>9</v>
      </c>
      <c r="L28">
        <v>0</v>
      </c>
      <c r="M28">
        <v>1</v>
      </c>
    </row>
    <row r="29" spans="1:13" x14ac:dyDescent="0.2">
      <c r="A29" t="s">
        <v>32</v>
      </c>
      <c r="B29" t="s">
        <v>42</v>
      </c>
      <c r="C29">
        <v>31</v>
      </c>
      <c r="D29" s="2">
        <v>0.41899999999999998</v>
      </c>
      <c r="E29">
        <v>0.85</v>
      </c>
      <c r="F29" s="2">
        <v>0.58799999999999997</v>
      </c>
      <c r="G29">
        <v>13</v>
      </c>
      <c r="H29">
        <v>18</v>
      </c>
      <c r="I29">
        <v>17</v>
      </c>
      <c r="J29">
        <v>20</v>
      </c>
      <c r="K29">
        <v>4</v>
      </c>
      <c r="L29">
        <v>0</v>
      </c>
      <c r="M29">
        <v>0</v>
      </c>
    </row>
    <row r="30" spans="1:13" x14ac:dyDescent="0.2">
      <c r="A30" t="s">
        <v>32</v>
      </c>
      <c r="B30" t="s">
        <v>43</v>
      </c>
      <c r="C30">
        <v>26</v>
      </c>
      <c r="D30" s="2">
        <v>0.5</v>
      </c>
      <c r="E30">
        <v>2.23</v>
      </c>
      <c r="F30" s="2">
        <v>0.51700000000000002</v>
      </c>
      <c r="G30">
        <v>13</v>
      </c>
      <c r="H30">
        <v>13</v>
      </c>
      <c r="I30">
        <v>29</v>
      </c>
      <c r="J30">
        <v>13</v>
      </c>
      <c r="K30">
        <v>4</v>
      </c>
      <c r="L30">
        <v>0</v>
      </c>
      <c r="M30">
        <v>0</v>
      </c>
    </row>
    <row r="31" spans="1:13" x14ac:dyDescent="0.2">
      <c r="A31" t="s">
        <v>32</v>
      </c>
      <c r="B31" t="s">
        <v>44</v>
      </c>
      <c r="C31">
        <v>23</v>
      </c>
      <c r="D31" s="2">
        <v>0.435</v>
      </c>
      <c r="E31">
        <v>1.5</v>
      </c>
      <c r="F31" s="2">
        <v>0.33300000000000002</v>
      </c>
      <c r="G31">
        <v>10</v>
      </c>
      <c r="H31">
        <v>13</v>
      </c>
      <c r="I31">
        <v>18</v>
      </c>
      <c r="J31">
        <v>12</v>
      </c>
      <c r="K31">
        <v>2</v>
      </c>
      <c r="L31">
        <v>0</v>
      </c>
      <c r="M31">
        <v>0</v>
      </c>
    </row>
    <row r="32" spans="1:13" x14ac:dyDescent="0.2">
      <c r="A32" t="s">
        <v>32</v>
      </c>
      <c r="B32" t="s">
        <v>45</v>
      </c>
      <c r="C32">
        <v>12</v>
      </c>
      <c r="D32" s="2">
        <v>0.5</v>
      </c>
      <c r="E32">
        <v>0.43</v>
      </c>
      <c r="F32" s="2">
        <v>0</v>
      </c>
      <c r="G32">
        <v>6</v>
      </c>
      <c r="H32">
        <v>6</v>
      </c>
      <c r="I32">
        <v>3</v>
      </c>
      <c r="J32">
        <v>7</v>
      </c>
      <c r="K32">
        <v>6</v>
      </c>
      <c r="L32">
        <v>0</v>
      </c>
      <c r="M32">
        <v>0</v>
      </c>
    </row>
    <row r="33" spans="1:13" x14ac:dyDescent="0.2">
      <c r="A33" t="s">
        <v>32</v>
      </c>
      <c r="B33" t="s">
        <v>46</v>
      </c>
      <c r="C33">
        <v>7</v>
      </c>
      <c r="D33" s="2">
        <v>0.14299999999999999</v>
      </c>
      <c r="E33">
        <v>0.5</v>
      </c>
      <c r="F33" s="2">
        <v>0.33300000000000002</v>
      </c>
      <c r="G33">
        <v>1</v>
      </c>
      <c r="H33">
        <v>6</v>
      </c>
      <c r="I33">
        <v>3</v>
      </c>
      <c r="J33">
        <v>6</v>
      </c>
      <c r="K33">
        <v>0</v>
      </c>
      <c r="L33">
        <v>0</v>
      </c>
      <c r="M33">
        <v>0</v>
      </c>
    </row>
    <row r="34" spans="1:13" x14ac:dyDescent="0.2">
      <c r="A34" t="s">
        <v>32</v>
      </c>
      <c r="B34" t="s">
        <v>47</v>
      </c>
      <c r="C34">
        <v>6</v>
      </c>
      <c r="D34" s="2">
        <v>0.33300000000000002</v>
      </c>
      <c r="E34">
        <v>0.25</v>
      </c>
      <c r="F34" s="2">
        <v>0</v>
      </c>
      <c r="G34">
        <v>2</v>
      </c>
      <c r="H34">
        <v>4</v>
      </c>
      <c r="I34">
        <v>1</v>
      </c>
      <c r="J34">
        <v>4</v>
      </c>
      <c r="K34">
        <v>2</v>
      </c>
      <c r="L34">
        <v>0</v>
      </c>
      <c r="M34">
        <v>0</v>
      </c>
    </row>
    <row r="35" spans="1:13" x14ac:dyDescent="0.2">
      <c r="A35" t="s">
        <v>32</v>
      </c>
      <c r="B35" t="s">
        <v>48</v>
      </c>
      <c r="C35">
        <v>6</v>
      </c>
      <c r="D35" s="2">
        <v>0.83299999999999996</v>
      </c>
      <c r="E35">
        <v>0.75</v>
      </c>
      <c r="F35" s="2">
        <v>0</v>
      </c>
      <c r="G35">
        <v>5</v>
      </c>
      <c r="H35">
        <v>1</v>
      </c>
      <c r="I35">
        <v>3</v>
      </c>
      <c r="J35">
        <v>4</v>
      </c>
      <c r="K35">
        <v>0</v>
      </c>
      <c r="L35">
        <v>0</v>
      </c>
      <c r="M35">
        <v>0</v>
      </c>
    </row>
    <row r="36" spans="1:13" x14ac:dyDescent="0.2">
      <c r="A36" t="s">
        <v>32</v>
      </c>
      <c r="B36" t="s">
        <v>49</v>
      </c>
      <c r="C36">
        <v>6</v>
      </c>
      <c r="D36" s="2">
        <v>0.16700000000000001</v>
      </c>
      <c r="E36">
        <v>1.25</v>
      </c>
      <c r="F36" s="2">
        <v>0.6</v>
      </c>
      <c r="G36">
        <v>1</v>
      </c>
      <c r="H36">
        <v>5</v>
      </c>
      <c r="I36">
        <v>5</v>
      </c>
      <c r="J36">
        <v>4</v>
      </c>
      <c r="K36">
        <v>1</v>
      </c>
      <c r="L36">
        <v>0</v>
      </c>
      <c r="M36">
        <v>0</v>
      </c>
    </row>
    <row r="37" spans="1:13" x14ac:dyDescent="0.2">
      <c r="A37" t="s">
        <v>32</v>
      </c>
      <c r="B37" t="s">
        <v>50</v>
      </c>
      <c r="C37">
        <v>4</v>
      </c>
      <c r="D37" s="2">
        <v>0.75</v>
      </c>
      <c r="E37">
        <v>3</v>
      </c>
      <c r="F37" s="2">
        <v>0.66700000000000004</v>
      </c>
      <c r="G37">
        <v>3</v>
      </c>
      <c r="H37">
        <v>1</v>
      </c>
      <c r="I37">
        <v>3</v>
      </c>
      <c r="J37">
        <v>1</v>
      </c>
      <c r="K37">
        <v>0</v>
      </c>
      <c r="L37">
        <v>0</v>
      </c>
      <c r="M37">
        <v>0</v>
      </c>
    </row>
    <row r="38" spans="1:13" x14ac:dyDescent="0.2">
      <c r="A38" t="s">
        <v>32</v>
      </c>
      <c r="B38" t="s">
        <v>51</v>
      </c>
      <c r="C38">
        <v>2</v>
      </c>
      <c r="D38" s="2">
        <v>0</v>
      </c>
      <c r="E38">
        <v>0</v>
      </c>
      <c r="F38" s="2">
        <v>0</v>
      </c>
      <c r="G38">
        <v>0</v>
      </c>
      <c r="H38">
        <v>2</v>
      </c>
      <c r="I38">
        <v>0</v>
      </c>
      <c r="J38">
        <v>2</v>
      </c>
      <c r="K38">
        <v>0</v>
      </c>
      <c r="L38">
        <v>0</v>
      </c>
      <c r="M38">
        <v>0</v>
      </c>
    </row>
    <row r="39" spans="1:13" x14ac:dyDescent="0.2">
      <c r="A39" t="s">
        <v>32</v>
      </c>
      <c r="B39" t="s">
        <v>52</v>
      </c>
      <c r="C39">
        <v>1</v>
      </c>
      <c r="D39" s="2">
        <v>0</v>
      </c>
      <c r="E39">
        <v>0</v>
      </c>
      <c r="F39" s="2">
        <v>0</v>
      </c>
      <c r="G39">
        <v>0</v>
      </c>
      <c r="H39">
        <v>1</v>
      </c>
      <c r="I39">
        <v>0</v>
      </c>
      <c r="J39">
        <v>1</v>
      </c>
      <c r="K39">
        <v>0</v>
      </c>
      <c r="L39">
        <v>0</v>
      </c>
      <c r="M39">
        <v>0</v>
      </c>
    </row>
    <row r="40" spans="1:13" x14ac:dyDescent="0.2">
      <c r="A40" t="s">
        <v>32</v>
      </c>
      <c r="B40" t="s">
        <v>53</v>
      </c>
      <c r="C40">
        <v>1</v>
      </c>
      <c r="D40" s="2">
        <v>0</v>
      </c>
      <c r="E40">
        <v>0</v>
      </c>
      <c r="F40" s="2">
        <v>0</v>
      </c>
      <c r="G40">
        <v>0</v>
      </c>
      <c r="H40">
        <v>1</v>
      </c>
      <c r="I40">
        <v>0</v>
      </c>
      <c r="J40">
        <v>1</v>
      </c>
      <c r="K40">
        <v>0</v>
      </c>
      <c r="L40">
        <v>0</v>
      </c>
      <c r="M40">
        <v>0</v>
      </c>
    </row>
    <row r="41" spans="1:13" x14ac:dyDescent="0.2">
      <c r="A41" t="s">
        <v>32</v>
      </c>
      <c r="B41" t="s">
        <v>54</v>
      </c>
      <c r="C41">
        <v>1</v>
      </c>
      <c r="D41" s="2">
        <v>0</v>
      </c>
      <c r="E41">
        <v>0</v>
      </c>
      <c r="F41" s="2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0</v>
      </c>
      <c r="M41">
        <v>0</v>
      </c>
    </row>
    <row r="42" spans="1:13" x14ac:dyDescent="0.2">
      <c r="A42" t="s">
        <v>32</v>
      </c>
      <c r="B42" t="s">
        <v>55</v>
      </c>
      <c r="C42">
        <v>1</v>
      </c>
      <c r="D42" s="2">
        <v>1</v>
      </c>
      <c r="E42">
        <v>0</v>
      </c>
      <c r="F42" s="2">
        <v>0</v>
      </c>
      <c r="G42">
        <v>1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0D4C5-0FD5-2245-9DC8-2EBA0292C277}">
  <dimension ref="A1:M75"/>
  <sheetViews>
    <sheetView workbookViewId="0">
      <selection sqref="A1:M1"/>
    </sheetView>
  </sheetViews>
  <sheetFormatPr baseColWidth="10" defaultRowHeight="16" x14ac:dyDescent="0.2"/>
  <cols>
    <col min="1" max="1" width="18" customWidth="1"/>
  </cols>
  <sheetData>
    <row r="1" spans="1:13" x14ac:dyDescent="0.2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23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 t="s">
        <v>13</v>
      </c>
      <c r="C2">
        <v>708</v>
      </c>
      <c r="D2" s="2">
        <v>0.61899999999999999</v>
      </c>
      <c r="E2">
        <v>1.6</v>
      </c>
      <c r="F2" s="2">
        <v>0.30299999999999999</v>
      </c>
      <c r="G2">
        <v>438</v>
      </c>
      <c r="H2">
        <v>270</v>
      </c>
      <c r="I2">
        <v>696</v>
      </c>
      <c r="J2">
        <v>435</v>
      </c>
      <c r="K2">
        <v>346</v>
      </c>
      <c r="L2">
        <v>3</v>
      </c>
      <c r="M2">
        <v>3</v>
      </c>
    </row>
    <row r="3" spans="1:13" x14ac:dyDescent="0.2">
      <c r="A3" t="s">
        <v>12</v>
      </c>
      <c r="B3" t="s">
        <v>14</v>
      </c>
      <c r="C3">
        <v>244</v>
      </c>
      <c r="D3" s="2">
        <v>0.57399999999999995</v>
      </c>
      <c r="E3">
        <v>1.56</v>
      </c>
      <c r="F3" s="2">
        <v>0.26600000000000001</v>
      </c>
      <c r="G3">
        <v>140</v>
      </c>
      <c r="H3">
        <v>104</v>
      </c>
      <c r="I3">
        <v>229</v>
      </c>
      <c r="J3">
        <v>147</v>
      </c>
      <c r="K3">
        <v>68</v>
      </c>
      <c r="L3">
        <v>0</v>
      </c>
      <c r="M3">
        <v>2</v>
      </c>
    </row>
    <row r="4" spans="1:13" x14ac:dyDescent="0.2">
      <c r="A4" t="s">
        <v>12</v>
      </c>
      <c r="B4" t="s">
        <v>25</v>
      </c>
      <c r="C4">
        <v>64</v>
      </c>
      <c r="D4" s="2">
        <v>0.56200000000000006</v>
      </c>
      <c r="E4">
        <v>1.37</v>
      </c>
      <c r="F4" s="2">
        <v>0.25</v>
      </c>
      <c r="G4">
        <v>36</v>
      </c>
      <c r="H4">
        <v>28</v>
      </c>
      <c r="I4">
        <v>52</v>
      </c>
      <c r="J4">
        <v>38</v>
      </c>
      <c r="K4">
        <v>11</v>
      </c>
      <c r="L4">
        <v>0</v>
      </c>
      <c r="M4">
        <v>0</v>
      </c>
    </row>
    <row r="5" spans="1:13" x14ac:dyDescent="0.2">
      <c r="A5" t="s">
        <v>12</v>
      </c>
      <c r="B5" t="s">
        <v>19</v>
      </c>
      <c r="C5">
        <v>63</v>
      </c>
      <c r="D5" s="2">
        <v>0.65100000000000002</v>
      </c>
      <c r="E5">
        <v>1.39</v>
      </c>
      <c r="F5" s="2">
        <v>0.3</v>
      </c>
      <c r="G5">
        <v>41</v>
      </c>
      <c r="H5">
        <v>22</v>
      </c>
      <c r="I5">
        <v>50</v>
      </c>
      <c r="J5">
        <v>36</v>
      </c>
      <c r="K5">
        <v>12</v>
      </c>
      <c r="L5">
        <v>0</v>
      </c>
      <c r="M5">
        <v>0</v>
      </c>
    </row>
    <row r="6" spans="1:13" x14ac:dyDescent="0.2">
      <c r="A6" t="s">
        <v>12</v>
      </c>
      <c r="B6" t="s">
        <v>20</v>
      </c>
      <c r="C6">
        <v>63</v>
      </c>
      <c r="D6" s="2">
        <v>0.54</v>
      </c>
      <c r="E6">
        <v>0.95</v>
      </c>
      <c r="F6" s="2">
        <v>0.58299999999999996</v>
      </c>
      <c r="G6">
        <v>34</v>
      </c>
      <c r="H6">
        <v>29</v>
      </c>
      <c r="I6">
        <v>36</v>
      </c>
      <c r="J6">
        <v>38</v>
      </c>
      <c r="K6">
        <v>12</v>
      </c>
      <c r="L6">
        <v>0</v>
      </c>
      <c r="M6">
        <v>0</v>
      </c>
    </row>
    <row r="7" spans="1:13" x14ac:dyDescent="0.2">
      <c r="A7" t="s">
        <v>12</v>
      </c>
      <c r="B7" t="s">
        <v>16</v>
      </c>
      <c r="C7">
        <v>58</v>
      </c>
      <c r="D7" s="2">
        <v>0.55200000000000005</v>
      </c>
      <c r="E7">
        <v>0.69</v>
      </c>
      <c r="F7" s="2">
        <v>0.44400000000000001</v>
      </c>
      <c r="G7">
        <v>32</v>
      </c>
      <c r="H7">
        <v>26</v>
      </c>
      <c r="I7">
        <v>18</v>
      </c>
      <c r="J7">
        <v>26</v>
      </c>
      <c r="K7">
        <v>3</v>
      </c>
      <c r="L7">
        <v>0</v>
      </c>
      <c r="M7">
        <v>0</v>
      </c>
    </row>
    <row r="8" spans="1:13" x14ac:dyDescent="0.2">
      <c r="A8" t="s">
        <v>12</v>
      </c>
      <c r="B8" t="s">
        <v>17</v>
      </c>
      <c r="C8">
        <v>56</v>
      </c>
      <c r="D8" s="2">
        <v>0.55400000000000005</v>
      </c>
      <c r="E8">
        <v>1.03</v>
      </c>
      <c r="F8" s="2">
        <v>0.57099999999999995</v>
      </c>
      <c r="G8">
        <v>31</v>
      </c>
      <c r="H8">
        <v>25</v>
      </c>
      <c r="I8">
        <v>35</v>
      </c>
      <c r="J8">
        <v>34</v>
      </c>
      <c r="K8">
        <v>10</v>
      </c>
      <c r="L8">
        <v>0</v>
      </c>
      <c r="M8">
        <v>0</v>
      </c>
    </row>
    <row r="9" spans="1:13" x14ac:dyDescent="0.2">
      <c r="A9" t="s">
        <v>12</v>
      </c>
      <c r="B9" t="s">
        <v>15</v>
      </c>
      <c r="C9">
        <v>54</v>
      </c>
      <c r="D9" s="2">
        <v>0.57399999999999995</v>
      </c>
      <c r="E9">
        <v>1.1299999999999999</v>
      </c>
      <c r="F9" s="2">
        <v>0.51200000000000001</v>
      </c>
      <c r="G9">
        <v>31</v>
      </c>
      <c r="H9">
        <v>23</v>
      </c>
      <c r="I9">
        <v>43</v>
      </c>
      <c r="J9">
        <v>38</v>
      </c>
      <c r="K9">
        <v>13</v>
      </c>
      <c r="L9">
        <v>1</v>
      </c>
      <c r="M9">
        <v>1</v>
      </c>
    </row>
    <row r="10" spans="1:13" x14ac:dyDescent="0.2">
      <c r="A10" t="s">
        <v>12</v>
      </c>
      <c r="B10" t="s">
        <v>18</v>
      </c>
      <c r="C10">
        <v>54</v>
      </c>
      <c r="D10" s="2">
        <v>0.64800000000000002</v>
      </c>
      <c r="E10">
        <v>1.55</v>
      </c>
      <c r="F10" s="2">
        <v>0.56200000000000006</v>
      </c>
      <c r="G10">
        <v>35</v>
      </c>
      <c r="H10">
        <v>19</v>
      </c>
      <c r="I10">
        <v>48</v>
      </c>
      <c r="J10">
        <v>31</v>
      </c>
      <c r="K10">
        <v>13</v>
      </c>
      <c r="L10">
        <v>0</v>
      </c>
      <c r="M10">
        <v>0</v>
      </c>
    </row>
    <row r="11" spans="1:13" x14ac:dyDescent="0.2">
      <c r="A11" t="s">
        <v>12</v>
      </c>
      <c r="B11" t="s">
        <v>22</v>
      </c>
      <c r="C11">
        <v>35</v>
      </c>
      <c r="D11" s="2">
        <v>0.371</v>
      </c>
      <c r="E11">
        <v>1.1499999999999999</v>
      </c>
      <c r="F11" s="2">
        <v>0.33300000000000002</v>
      </c>
      <c r="G11">
        <v>13</v>
      </c>
      <c r="H11">
        <v>22</v>
      </c>
      <c r="I11">
        <v>30</v>
      </c>
      <c r="J11">
        <v>26</v>
      </c>
      <c r="K11">
        <v>7</v>
      </c>
      <c r="L11">
        <v>0</v>
      </c>
      <c r="M11">
        <v>0</v>
      </c>
    </row>
    <row r="12" spans="1:13" x14ac:dyDescent="0.2">
      <c r="A12" t="s">
        <v>12</v>
      </c>
      <c r="B12" t="s">
        <v>27</v>
      </c>
      <c r="C12">
        <v>33</v>
      </c>
      <c r="D12" s="2">
        <v>0.45500000000000002</v>
      </c>
      <c r="E12">
        <v>1.37</v>
      </c>
      <c r="F12" s="2">
        <v>0.53800000000000003</v>
      </c>
      <c r="G12">
        <v>15</v>
      </c>
      <c r="H12">
        <v>18</v>
      </c>
      <c r="I12">
        <v>26</v>
      </c>
      <c r="J12">
        <v>19</v>
      </c>
      <c r="K12">
        <v>4</v>
      </c>
      <c r="L12">
        <v>0</v>
      </c>
      <c r="M12">
        <v>0</v>
      </c>
    </row>
    <row r="13" spans="1:13" x14ac:dyDescent="0.2">
      <c r="A13" t="s">
        <v>12</v>
      </c>
      <c r="B13" t="s">
        <v>29</v>
      </c>
      <c r="C13">
        <v>31</v>
      </c>
      <c r="D13" s="2">
        <v>0.71</v>
      </c>
      <c r="E13">
        <v>1.32</v>
      </c>
      <c r="F13" s="2">
        <v>0.32</v>
      </c>
      <c r="G13">
        <v>22</v>
      </c>
      <c r="H13">
        <v>9</v>
      </c>
      <c r="I13">
        <v>25</v>
      </c>
      <c r="J13">
        <v>19</v>
      </c>
      <c r="K13">
        <v>20</v>
      </c>
      <c r="L13">
        <v>0</v>
      </c>
      <c r="M13">
        <v>0</v>
      </c>
    </row>
    <row r="14" spans="1:13" x14ac:dyDescent="0.2">
      <c r="A14" t="s">
        <v>12</v>
      </c>
      <c r="B14" t="s">
        <v>26</v>
      </c>
      <c r="C14">
        <v>28</v>
      </c>
      <c r="D14" s="2">
        <v>0.57099999999999995</v>
      </c>
      <c r="E14">
        <v>0.79</v>
      </c>
      <c r="F14" s="2">
        <v>0.66700000000000004</v>
      </c>
      <c r="G14">
        <v>16</v>
      </c>
      <c r="H14">
        <v>12</v>
      </c>
      <c r="I14">
        <v>15</v>
      </c>
      <c r="J14">
        <v>19</v>
      </c>
      <c r="K14">
        <v>13</v>
      </c>
      <c r="L14">
        <v>0</v>
      </c>
      <c r="M14">
        <v>0</v>
      </c>
    </row>
    <row r="15" spans="1:13" x14ac:dyDescent="0.2">
      <c r="A15" t="s">
        <v>12</v>
      </c>
      <c r="B15" t="s">
        <v>24</v>
      </c>
      <c r="C15">
        <v>26</v>
      </c>
      <c r="D15" s="2">
        <v>0.53800000000000003</v>
      </c>
      <c r="E15">
        <v>1.25</v>
      </c>
      <c r="F15" s="2">
        <v>0.15</v>
      </c>
      <c r="G15">
        <v>14</v>
      </c>
      <c r="H15">
        <v>12</v>
      </c>
      <c r="I15">
        <v>20</v>
      </c>
      <c r="J15">
        <v>16</v>
      </c>
      <c r="K15">
        <v>11</v>
      </c>
      <c r="L15">
        <v>0</v>
      </c>
      <c r="M15">
        <v>0</v>
      </c>
    </row>
    <row r="16" spans="1:13" x14ac:dyDescent="0.2">
      <c r="A16" t="s">
        <v>12</v>
      </c>
      <c r="B16" t="s">
        <v>28</v>
      </c>
      <c r="C16">
        <v>23</v>
      </c>
      <c r="D16" s="2">
        <v>0.47799999999999998</v>
      </c>
      <c r="E16">
        <v>0.83</v>
      </c>
      <c r="F16" s="2">
        <v>0.2</v>
      </c>
      <c r="G16">
        <v>11</v>
      </c>
      <c r="H16">
        <v>12</v>
      </c>
      <c r="I16">
        <v>15</v>
      </c>
      <c r="J16">
        <v>18</v>
      </c>
      <c r="K16">
        <v>6</v>
      </c>
      <c r="L16">
        <v>0</v>
      </c>
      <c r="M16">
        <v>0</v>
      </c>
    </row>
    <row r="17" spans="1:13" x14ac:dyDescent="0.2">
      <c r="A17" t="s">
        <v>12</v>
      </c>
      <c r="B17" t="s">
        <v>79</v>
      </c>
      <c r="C17">
        <v>10</v>
      </c>
      <c r="D17" s="2">
        <v>0.6</v>
      </c>
      <c r="E17">
        <v>0.56999999999999995</v>
      </c>
      <c r="F17" s="2">
        <v>0.5</v>
      </c>
      <c r="G17">
        <v>6</v>
      </c>
      <c r="H17">
        <v>4</v>
      </c>
      <c r="I17">
        <v>4</v>
      </c>
      <c r="J17">
        <v>7</v>
      </c>
      <c r="K17">
        <v>4</v>
      </c>
      <c r="L17">
        <v>0</v>
      </c>
      <c r="M17">
        <v>0</v>
      </c>
    </row>
    <row r="18" spans="1:13" x14ac:dyDescent="0.2">
      <c r="A18" t="s">
        <v>12</v>
      </c>
      <c r="B18" t="s">
        <v>56</v>
      </c>
      <c r="C18">
        <v>10</v>
      </c>
      <c r="D18" s="2">
        <v>0.5</v>
      </c>
      <c r="E18">
        <v>1.29</v>
      </c>
      <c r="F18" s="2">
        <v>0.222</v>
      </c>
      <c r="G18">
        <v>5</v>
      </c>
      <c r="H18">
        <v>5</v>
      </c>
      <c r="I18">
        <v>9</v>
      </c>
      <c r="J18">
        <v>7</v>
      </c>
      <c r="K18">
        <v>2</v>
      </c>
      <c r="L18">
        <v>0</v>
      </c>
      <c r="M18">
        <v>0</v>
      </c>
    </row>
    <row r="19" spans="1:13" x14ac:dyDescent="0.2">
      <c r="A19" t="s">
        <v>12</v>
      </c>
      <c r="B19" t="s">
        <v>21</v>
      </c>
      <c r="C19">
        <v>10</v>
      </c>
      <c r="D19" s="2">
        <v>0.5</v>
      </c>
      <c r="E19">
        <v>0.75</v>
      </c>
      <c r="F19" s="2">
        <v>0.33300000000000002</v>
      </c>
      <c r="G19">
        <v>5</v>
      </c>
      <c r="H19">
        <v>5</v>
      </c>
      <c r="I19">
        <v>6</v>
      </c>
      <c r="J19">
        <v>8</v>
      </c>
      <c r="K19">
        <v>3</v>
      </c>
      <c r="L19">
        <v>0</v>
      </c>
      <c r="M19">
        <v>0</v>
      </c>
    </row>
    <row r="20" spans="1:13" x14ac:dyDescent="0.2">
      <c r="A20" t="s">
        <v>12</v>
      </c>
      <c r="B20" t="s">
        <v>57</v>
      </c>
      <c r="C20">
        <v>9</v>
      </c>
      <c r="D20" s="2">
        <v>0.55600000000000005</v>
      </c>
      <c r="E20">
        <v>0.5</v>
      </c>
      <c r="F20" s="2">
        <v>0.33300000000000002</v>
      </c>
      <c r="G20">
        <v>5</v>
      </c>
      <c r="H20">
        <v>4</v>
      </c>
      <c r="I20">
        <v>3</v>
      </c>
      <c r="J20">
        <v>6</v>
      </c>
      <c r="K20">
        <v>4</v>
      </c>
      <c r="L20">
        <v>0</v>
      </c>
      <c r="M20">
        <v>0</v>
      </c>
    </row>
    <row r="21" spans="1:13" x14ac:dyDescent="0.2">
      <c r="A21" t="s">
        <v>12</v>
      </c>
      <c r="B21" t="s">
        <v>62</v>
      </c>
      <c r="C21">
        <v>8</v>
      </c>
      <c r="D21" s="2">
        <v>0.5</v>
      </c>
      <c r="E21">
        <v>0.86</v>
      </c>
      <c r="F21" s="2">
        <v>0.33300000000000002</v>
      </c>
      <c r="G21">
        <v>4</v>
      </c>
      <c r="H21">
        <v>4</v>
      </c>
      <c r="I21">
        <v>6</v>
      </c>
      <c r="J21">
        <v>7</v>
      </c>
      <c r="K21">
        <v>1</v>
      </c>
      <c r="L21">
        <v>0</v>
      </c>
      <c r="M21">
        <v>0</v>
      </c>
    </row>
    <row r="22" spans="1:13" x14ac:dyDescent="0.2">
      <c r="A22" t="s">
        <v>12</v>
      </c>
      <c r="B22" t="s">
        <v>58</v>
      </c>
      <c r="C22">
        <v>8</v>
      </c>
      <c r="D22" s="2">
        <v>0.875</v>
      </c>
      <c r="E22">
        <v>1.67</v>
      </c>
      <c r="F22" s="2">
        <v>0</v>
      </c>
      <c r="G22">
        <v>7</v>
      </c>
      <c r="H22">
        <v>1</v>
      </c>
      <c r="I22">
        <v>5</v>
      </c>
      <c r="J22">
        <v>3</v>
      </c>
      <c r="K22">
        <v>0</v>
      </c>
      <c r="L22">
        <v>0</v>
      </c>
      <c r="M22">
        <v>0</v>
      </c>
    </row>
    <row r="23" spans="1:13" x14ac:dyDescent="0.2">
      <c r="A23" t="s">
        <v>12</v>
      </c>
      <c r="B23" t="s">
        <v>61</v>
      </c>
      <c r="C23">
        <v>7</v>
      </c>
      <c r="D23" s="2">
        <v>0.28599999999999998</v>
      </c>
      <c r="E23">
        <v>0.4</v>
      </c>
      <c r="F23" s="2">
        <v>0.5</v>
      </c>
      <c r="G23">
        <v>2</v>
      </c>
      <c r="H23">
        <v>5</v>
      </c>
      <c r="I23">
        <v>2</v>
      </c>
      <c r="J23">
        <v>5</v>
      </c>
      <c r="K23">
        <v>0</v>
      </c>
      <c r="L23">
        <v>0</v>
      </c>
      <c r="M23">
        <v>0</v>
      </c>
    </row>
    <row r="24" spans="1:13" x14ac:dyDescent="0.2">
      <c r="A24" t="s">
        <v>12</v>
      </c>
      <c r="B24" t="s">
        <v>60</v>
      </c>
      <c r="C24">
        <v>5</v>
      </c>
      <c r="D24" s="2">
        <v>0</v>
      </c>
      <c r="E24">
        <v>1</v>
      </c>
      <c r="F24" s="2">
        <v>0.4</v>
      </c>
      <c r="G24">
        <v>0</v>
      </c>
      <c r="H24">
        <v>5</v>
      </c>
      <c r="I24">
        <v>5</v>
      </c>
      <c r="J24">
        <v>5</v>
      </c>
      <c r="K24">
        <v>1</v>
      </c>
      <c r="L24">
        <v>0</v>
      </c>
      <c r="M24">
        <v>0</v>
      </c>
    </row>
    <row r="25" spans="1:13" x14ac:dyDescent="0.2">
      <c r="A25" t="s">
        <v>12</v>
      </c>
      <c r="B25" t="s">
        <v>80</v>
      </c>
      <c r="C25">
        <v>5</v>
      </c>
      <c r="D25" s="2">
        <v>0.2</v>
      </c>
      <c r="E25">
        <v>1.5</v>
      </c>
      <c r="F25" s="2">
        <v>0</v>
      </c>
      <c r="G25">
        <v>1</v>
      </c>
      <c r="H25">
        <v>4</v>
      </c>
      <c r="I25">
        <v>6</v>
      </c>
      <c r="J25">
        <v>4</v>
      </c>
      <c r="K25">
        <v>2</v>
      </c>
      <c r="L25">
        <v>0</v>
      </c>
      <c r="M25">
        <v>0</v>
      </c>
    </row>
    <row r="26" spans="1:13" x14ac:dyDescent="0.2">
      <c r="A26" t="s">
        <v>12</v>
      </c>
      <c r="B26" t="s">
        <v>84</v>
      </c>
      <c r="C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 x14ac:dyDescent="0.2">
      <c r="A27" t="s">
        <v>12</v>
      </c>
      <c r="B27" t="s">
        <v>63</v>
      </c>
      <c r="C27">
        <v>5</v>
      </c>
      <c r="D27" s="2">
        <v>0.4</v>
      </c>
      <c r="E27">
        <v>2.33</v>
      </c>
      <c r="F27" s="2">
        <v>0.42899999999999999</v>
      </c>
      <c r="G27">
        <v>2</v>
      </c>
      <c r="H27">
        <v>3</v>
      </c>
      <c r="I27">
        <v>7</v>
      </c>
      <c r="J27">
        <v>3</v>
      </c>
      <c r="K27">
        <v>1</v>
      </c>
      <c r="L27">
        <v>0</v>
      </c>
      <c r="M27">
        <v>0</v>
      </c>
    </row>
    <row r="28" spans="1:13" x14ac:dyDescent="0.2">
      <c r="A28" t="s">
        <v>12</v>
      </c>
      <c r="B28" t="s">
        <v>31</v>
      </c>
      <c r="C28">
        <v>4</v>
      </c>
      <c r="D28" s="2">
        <v>0</v>
      </c>
      <c r="E28">
        <v>0.25</v>
      </c>
      <c r="F28" s="2">
        <v>1</v>
      </c>
      <c r="G28">
        <v>0</v>
      </c>
      <c r="H28">
        <v>4</v>
      </c>
      <c r="I28">
        <v>1</v>
      </c>
      <c r="J28">
        <v>4</v>
      </c>
      <c r="K28">
        <v>0</v>
      </c>
      <c r="L28">
        <v>0</v>
      </c>
      <c r="M28">
        <v>0</v>
      </c>
    </row>
    <row r="29" spans="1:13" x14ac:dyDescent="0.2">
      <c r="A29" t="s">
        <v>12</v>
      </c>
      <c r="B29" t="s">
        <v>30</v>
      </c>
      <c r="C29">
        <v>2</v>
      </c>
      <c r="D29" s="2">
        <v>1</v>
      </c>
      <c r="E29">
        <v>1</v>
      </c>
      <c r="F29" s="2">
        <v>1</v>
      </c>
      <c r="G29">
        <v>2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</row>
    <row r="30" spans="1:13" x14ac:dyDescent="0.2">
      <c r="A30" t="s">
        <v>12</v>
      </c>
      <c r="B30" t="s">
        <v>68</v>
      </c>
      <c r="C30">
        <v>2</v>
      </c>
      <c r="D30" s="2">
        <v>0.5</v>
      </c>
      <c r="E30">
        <v>3</v>
      </c>
      <c r="F30" s="2">
        <v>0.33300000000000002</v>
      </c>
      <c r="G30">
        <v>1</v>
      </c>
      <c r="H30">
        <v>1</v>
      </c>
      <c r="I30">
        <v>3</v>
      </c>
      <c r="J30">
        <v>1</v>
      </c>
      <c r="K30">
        <v>0</v>
      </c>
      <c r="L30">
        <v>0</v>
      </c>
      <c r="M30">
        <v>0</v>
      </c>
    </row>
    <row r="31" spans="1:13" x14ac:dyDescent="0.2">
      <c r="A31" t="s">
        <v>12</v>
      </c>
      <c r="B31" t="s">
        <v>88</v>
      </c>
      <c r="C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</row>
    <row r="32" spans="1:13" x14ac:dyDescent="0.2">
      <c r="A32" t="s">
        <v>12</v>
      </c>
      <c r="B32" t="s">
        <v>64</v>
      </c>
      <c r="C32">
        <v>1</v>
      </c>
      <c r="D32" s="2">
        <v>0</v>
      </c>
      <c r="E32">
        <v>1</v>
      </c>
      <c r="F32" s="2">
        <v>1</v>
      </c>
      <c r="G32">
        <v>0</v>
      </c>
      <c r="H32">
        <v>1</v>
      </c>
      <c r="I32">
        <v>1</v>
      </c>
      <c r="J32">
        <v>1</v>
      </c>
      <c r="K32">
        <v>0</v>
      </c>
      <c r="L32">
        <v>0</v>
      </c>
      <c r="M32">
        <v>0</v>
      </c>
    </row>
    <row r="33" spans="1:13" x14ac:dyDescent="0.2">
      <c r="A33" t="s">
        <v>12</v>
      </c>
      <c r="B33" t="s">
        <v>59</v>
      </c>
      <c r="C33">
        <v>1</v>
      </c>
      <c r="D33" s="2">
        <v>0</v>
      </c>
      <c r="E33">
        <v>0</v>
      </c>
      <c r="F33" s="2">
        <v>0</v>
      </c>
      <c r="G33">
        <v>0</v>
      </c>
      <c r="H33">
        <v>1</v>
      </c>
      <c r="I33">
        <v>0</v>
      </c>
      <c r="J33">
        <v>1</v>
      </c>
      <c r="K33">
        <v>0</v>
      </c>
      <c r="L33">
        <v>0</v>
      </c>
      <c r="M33">
        <v>0</v>
      </c>
    </row>
    <row r="34" spans="1:13" x14ac:dyDescent="0.2">
      <c r="A34" t="s">
        <v>12</v>
      </c>
      <c r="B34" t="s">
        <v>85</v>
      </c>
      <c r="C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 x14ac:dyDescent="0.2">
      <c r="A35" t="s">
        <v>12</v>
      </c>
      <c r="B35" t="s">
        <v>66</v>
      </c>
      <c r="C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</row>
    <row r="36" spans="1:13" x14ac:dyDescent="0.2">
      <c r="A36" t="s">
        <v>12</v>
      </c>
      <c r="B36" t="s">
        <v>65</v>
      </c>
      <c r="C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 x14ac:dyDescent="0.2">
      <c r="A37" t="s">
        <v>12</v>
      </c>
      <c r="B37" t="s">
        <v>67</v>
      </c>
      <c r="C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 x14ac:dyDescent="0.2">
      <c r="A38" t="s">
        <v>12</v>
      </c>
      <c r="B38" t="s">
        <v>81</v>
      </c>
      <c r="C38">
        <v>1</v>
      </c>
      <c r="D38" s="2">
        <v>1</v>
      </c>
      <c r="E38">
        <v>0</v>
      </c>
      <c r="F38" s="2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</row>
    <row r="39" spans="1:13" x14ac:dyDescent="0.2">
      <c r="A39" t="s">
        <v>32</v>
      </c>
      <c r="B39" t="s">
        <v>35</v>
      </c>
      <c r="C39">
        <v>496</v>
      </c>
      <c r="D39" s="2">
        <v>0.45600000000000002</v>
      </c>
      <c r="E39">
        <v>1.43</v>
      </c>
      <c r="F39" s="2">
        <v>0.57299999999999995</v>
      </c>
      <c r="G39">
        <v>226</v>
      </c>
      <c r="H39">
        <v>270</v>
      </c>
      <c r="I39">
        <v>496</v>
      </c>
      <c r="J39">
        <v>346</v>
      </c>
      <c r="K39">
        <v>116</v>
      </c>
      <c r="L39">
        <v>1</v>
      </c>
      <c r="M39">
        <v>1</v>
      </c>
    </row>
    <row r="40" spans="1:13" x14ac:dyDescent="0.2">
      <c r="A40" t="s">
        <v>32</v>
      </c>
      <c r="B40" t="s">
        <v>33</v>
      </c>
      <c r="C40">
        <v>175</v>
      </c>
      <c r="D40" s="2">
        <v>0.497</v>
      </c>
      <c r="E40">
        <v>1.21</v>
      </c>
      <c r="F40" s="2">
        <v>0.59399999999999997</v>
      </c>
      <c r="G40">
        <v>87</v>
      </c>
      <c r="H40">
        <v>88</v>
      </c>
      <c r="I40">
        <v>133</v>
      </c>
      <c r="J40">
        <v>110</v>
      </c>
      <c r="K40">
        <v>39</v>
      </c>
      <c r="L40">
        <v>0</v>
      </c>
      <c r="M40">
        <v>0</v>
      </c>
    </row>
    <row r="41" spans="1:13" x14ac:dyDescent="0.2">
      <c r="A41" t="s">
        <v>32</v>
      </c>
      <c r="B41" t="s">
        <v>39</v>
      </c>
      <c r="C41">
        <v>111</v>
      </c>
      <c r="D41" s="2">
        <v>0.432</v>
      </c>
      <c r="E41">
        <v>1.3</v>
      </c>
      <c r="F41" s="2">
        <v>0.30399999999999999</v>
      </c>
      <c r="G41">
        <v>48</v>
      </c>
      <c r="H41">
        <v>63</v>
      </c>
      <c r="I41">
        <v>92</v>
      </c>
      <c r="J41">
        <v>71</v>
      </c>
      <c r="K41">
        <v>35</v>
      </c>
      <c r="L41">
        <v>0</v>
      </c>
      <c r="M41">
        <v>1</v>
      </c>
    </row>
    <row r="42" spans="1:13" x14ac:dyDescent="0.2">
      <c r="A42" t="s">
        <v>32</v>
      </c>
      <c r="B42" t="s">
        <v>37</v>
      </c>
      <c r="C42">
        <v>108</v>
      </c>
      <c r="D42" s="2">
        <v>0.49099999999999999</v>
      </c>
      <c r="E42">
        <v>1.23</v>
      </c>
      <c r="F42" s="2">
        <v>0.60899999999999999</v>
      </c>
      <c r="G42">
        <v>53</v>
      </c>
      <c r="H42">
        <v>55</v>
      </c>
      <c r="I42">
        <v>87</v>
      </c>
      <c r="J42">
        <v>71</v>
      </c>
      <c r="K42">
        <v>20</v>
      </c>
      <c r="L42">
        <v>0</v>
      </c>
      <c r="M42">
        <v>0</v>
      </c>
    </row>
    <row r="43" spans="1:13" x14ac:dyDescent="0.2">
      <c r="A43" t="s">
        <v>32</v>
      </c>
      <c r="B43" t="s">
        <v>34</v>
      </c>
      <c r="C43">
        <v>93</v>
      </c>
      <c r="D43" s="2">
        <v>0.441</v>
      </c>
      <c r="E43">
        <v>1.27</v>
      </c>
      <c r="F43" s="2">
        <v>0.57099999999999995</v>
      </c>
      <c r="G43">
        <v>41</v>
      </c>
      <c r="H43">
        <v>52</v>
      </c>
      <c r="I43">
        <v>70</v>
      </c>
      <c r="J43">
        <v>55</v>
      </c>
      <c r="K43">
        <v>16</v>
      </c>
      <c r="L43">
        <v>0</v>
      </c>
      <c r="M43">
        <v>1</v>
      </c>
    </row>
    <row r="44" spans="1:13" x14ac:dyDescent="0.2">
      <c r="A44" t="s">
        <v>32</v>
      </c>
      <c r="B44" t="s">
        <v>41</v>
      </c>
      <c r="C44">
        <v>88</v>
      </c>
      <c r="D44" s="2">
        <v>0.375</v>
      </c>
      <c r="E44">
        <v>0.95</v>
      </c>
      <c r="F44" s="2">
        <v>0.35</v>
      </c>
      <c r="G44">
        <v>33</v>
      </c>
      <c r="H44">
        <v>55</v>
      </c>
      <c r="I44">
        <v>60</v>
      </c>
      <c r="J44">
        <v>63</v>
      </c>
      <c r="K44">
        <v>16</v>
      </c>
      <c r="L44">
        <v>0</v>
      </c>
      <c r="M44">
        <v>0</v>
      </c>
    </row>
    <row r="45" spans="1:13" x14ac:dyDescent="0.2">
      <c r="A45" t="s">
        <v>32</v>
      </c>
      <c r="B45" t="s">
        <v>44</v>
      </c>
      <c r="C45">
        <v>85</v>
      </c>
      <c r="D45" s="2">
        <v>0.38800000000000001</v>
      </c>
      <c r="E45">
        <v>0.69</v>
      </c>
      <c r="F45" s="2">
        <v>0.57099999999999995</v>
      </c>
      <c r="G45">
        <v>33</v>
      </c>
      <c r="H45">
        <v>52</v>
      </c>
      <c r="I45">
        <v>42</v>
      </c>
      <c r="J45">
        <v>61</v>
      </c>
      <c r="K45">
        <v>7</v>
      </c>
      <c r="L45">
        <v>0</v>
      </c>
      <c r="M45">
        <v>0</v>
      </c>
    </row>
    <row r="46" spans="1:13" x14ac:dyDescent="0.2">
      <c r="A46" t="s">
        <v>32</v>
      </c>
      <c r="B46" t="s">
        <v>36</v>
      </c>
      <c r="C46">
        <v>69</v>
      </c>
      <c r="D46" s="2">
        <v>0.42</v>
      </c>
      <c r="E46">
        <v>1.48</v>
      </c>
      <c r="F46" s="2">
        <v>0.371</v>
      </c>
      <c r="G46">
        <v>29</v>
      </c>
      <c r="H46">
        <v>40</v>
      </c>
      <c r="I46">
        <v>62</v>
      </c>
      <c r="J46">
        <v>42</v>
      </c>
      <c r="K46">
        <v>13</v>
      </c>
      <c r="L46">
        <v>0</v>
      </c>
      <c r="M46">
        <v>0</v>
      </c>
    </row>
    <row r="47" spans="1:13" x14ac:dyDescent="0.2">
      <c r="A47" t="s">
        <v>32</v>
      </c>
      <c r="B47" t="s">
        <v>40</v>
      </c>
      <c r="C47">
        <v>66</v>
      </c>
      <c r="D47" s="2">
        <v>0.47</v>
      </c>
      <c r="E47">
        <v>1.58</v>
      </c>
      <c r="F47" s="2">
        <v>0.46899999999999997</v>
      </c>
      <c r="G47">
        <v>31</v>
      </c>
      <c r="H47">
        <v>35</v>
      </c>
      <c r="I47">
        <v>49</v>
      </c>
      <c r="J47">
        <v>31</v>
      </c>
      <c r="K47">
        <v>15</v>
      </c>
      <c r="L47">
        <v>0</v>
      </c>
      <c r="M47">
        <v>0</v>
      </c>
    </row>
    <row r="48" spans="1:13" x14ac:dyDescent="0.2">
      <c r="A48" t="s">
        <v>32</v>
      </c>
      <c r="B48" t="s">
        <v>38</v>
      </c>
      <c r="C48">
        <v>58</v>
      </c>
      <c r="D48" s="2">
        <v>0.43099999999999999</v>
      </c>
      <c r="E48">
        <v>0.69</v>
      </c>
      <c r="F48" s="2">
        <v>0.68600000000000005</v>
      </c>
      <c r="G48">
        <v>25</v>
      </c>
      <c r="H48">
        <v>33</v>
      </c>
      <c r="I48">
        <v>35</v>
      </c>
      <c r="J48">
        <v>51</v>
      </c>
      <c r="K48">
        <v>12</v>
      </c>
      <c r="L48">
        <v>0</v>
      </c>
      <c r="M48">
        <v>0</v>
      </c>
    </row>
    <row r="49" spans="1:13" x14ac:dyDescent="0.2">
      <c r="A49" t="s">
        <v>32</v>
      </c>
      <c r="B49" t="s">
        <v>46</v>
      </c>
      <c r="C49">
        <v>46</v>
      </c>
      <c r="D49" s="2">
        <v>0.60899999999999999</v>
      </c>
      <c r="E49">
        <v>2</v>
      </c>
      <c r="F49" s="2">
        <v>0.61899999999999999</v>
      </c>
      <c r="G49">
        <v>28</v>
      </c>
      <c r="H49">
        <v>18</v>
      </c>
      <c r="I49">
        <v>42</v>
      </c>
      <c r="J49">
        <v>21</v>
      </c>
      <c r="K49">
        <v>2</v>
      </c>
      <c r="L49">
        <v>0</v>
      </c>
      <c r="M49">
        <v>0</v>
      </c>
    </row>
    <row r="50" spans="1:13" x14ac:dyDescent="0.2">
      <c r="A50" t="s">
        <v>32</v>
      </c>
      <c r="B50" t="s">
        <v>43</v>
      </c>
      <c r="C50">
        <v>39</v>
      </c>
      <c r="D50" s="2">
        <v>0.53800000000000003</v>
      </c>
      <c r="E50">
        <v>1.05</v>
      </c>
      <c r="F50" s="2">
        <v>0.33300000000000002</v>
      </c>
      <c r="G50">
        <v>21</v>
      </c>
      <c r="H50">
        <v>18</v>
      </c>
      <c r="I50">
        <v>21</v>
      </c>
      <c r="J50">
        <v>20</v>
      </c>
      <c r="K50">
        <v>2</v>
      </c>
      <c r="L50">
        <v>0</v>
      </c>
      <c r="M50">
        <v>0</v>
      </c>
    </row>
    <row r="51" spans="1:13" x14ac:dyDescent="0.2">
      <c r="A51" t="s">
        <v>32</v>
      </c>
      <c r="B51" t="s">
        <v>69</v>
      </c>
      <c r="C51">
        <v>37</v>
      </c>
      <c r="D51" s="2">
        <v>0.378</v>
      </c>
      <c r="E51">
        <v>1.04</v>
      </c>
      <c r="F51" s="2">
        <v>0.56000000000000005</v>
      </c>
      <c r="G51">
        <v>14</v>
      </c>
      <c r="H51">
        <v>23</v>
      </c>
      <c r="I51">
        <v>25</v>
      </c>
      <c r="J51">
        <v>24</v>
      </c>
      <c r="K51">
        <v>10</v>
      </c>
      <c r="L51">
        <v>0</v>
      </c>
      <c r="M51">
        <v>0</v>
      </c>
    </row>
    <row r="52" spans="1:13" x14ac:dyDescent="0.2">
      <c r="A52" t="s">
        <v>32</v>
      </c>
      <c r="B52" t="s">
        <v>48</v>
      </c>
      <c r="C52">
        <v>34</v>
      </c>
      <c r="D52" s="2">
        <v>0.58799999999999997</v>
      </c>
      <c r="E52">
        <v>1.38</v>
      </c>
      <c r="F52" s="2">
        <v>0.55200000000000005</v>
      </c>
      <c r="G52">
        <v>20</v>
      </c>
      <c r="H52">
        <v>14</v>
      </c>
      <c r="I52">
        <v>29</v>
      </c>
      <c r="J52">
        <v>21</v>
      </c>
      <c r="K52">
        <v>8</v>
      </c>
      <c r="L52">
        <v>0</v>
      </c>
      <c r="M52">
        <v>0</v>
      </c>
    </row>
    <row r="53" spans="1:13" x14ac:dyDescent="0.2">
      <c r="A53" t="s">
        <v>32</v>
      </c>
      <c r="B53" t="s">
        <v>42</v>
      </c>
      <c r="C53">
        <v>33</v>
      </c>
      <c r="D53" s="2">
        <v>0.45500000000000002</v>
      </c>
      <c r="E53">
        <v>1.19</v>
      </c>
      <c r="F53" s="2">
        <v>0.28000000000000003</v>
      </c>
      <c r="G53">
        <v>15</v>
      </c>
      <c r="H53">
        <v>18</v>
      </c>
      <c r="I53">
        <v>25</v>
      </c>
      <c r="J53">
        <v>21</v>
      </c>
      <c r="K53">
        <v>5</v>
      </c>
      <c r="L53">
        <v>0</v>
      </c>
      <c r="M53">
        <v>0</v>
      </c>
    </row>
    <row r="54" spans="1:13" x14ac:dyDescent="0.2">
      <c r="A54" t="s">
        <v>32</v>
      </c>
      <c r="B54" t="s">
        <v>45</v>
      </c>
      <c r="C54">
        <v>28</v>
      </c>
      <c r="D54" s="2">
        <v>0.46400000000000002</v>
      </c>
      <c r="E54">
        <v>1.41</v>
      </c>
      <c r="F54" s="2">
        <v>0.54200000000000004</v>
      </c>
      <c r="G54">
        <v>13</v>
      </c>
      <c r="H54">
        <v>15</v>
      </c>
      <c r="I54">
        <v>24</v>
      </c>
      <c r="J54">
        <v>17</v>
      </c>
      <c r="K54">
        <v>9</v>
      </c>
      <c r="L54">
        <v>0</v>
      </c>
      <c r="M54">
        <v>1</v>
      </c>
    </row>
    <row r="55" spans="1:13" x14ac:dyDescent="0.2">
      <c r="A55" t="s">
        <v>32</v>
      </c>
      <c r="B55" t="s">
        <v>51</v>
      </c>
      <c r="C55">
        <v>19</v>
      </c>
      <c r="D55" s="2">
        <v>0.47399999999999998</v>
      </c>
      <c r="E55">
        <v>2</v>
      </c>
      <c r="F55" s="2">
        <v>0.5</v>
      </c>
      <c r="G55">
        <v>9</v>
      </c>
      <c r="H55">
        <v>10</v>
      </c>
      <c r="I55">
        <v>22</v>
      </c>
      <c r="J55">
        <v>11</v>
      </c>
      <c r="K55">
        <v>2</v>
      </c>
      <c r="L55">
        <v>0</v>
      </c>
      <c r="M55">
        <v>1</v>
      </c>
    </row>
    <row r="56" spans="1:13" x14ac:dyDescent="0.2">
      <c r="A56" t="s">
        <v>32</v>
      </c>
      <c r="B56" t="s">
        <v>50</v>
      </c>
      <c r="C56">
        <v>16</v>
      </c>
      <c r="D56" s="2">
        <v>0.375</v>
      </c>
      <c r="E56">
        <v>0.73</v>
      </c>
      <c r="F56" s="2">
        <v>1</v>
      </c>
      <c r="G56">
        <v>6</v>
      </c>
      <c r="H56">
        <v>10</v>
      </c>
      <c r="I56">
        <v>8</v>
      </c>
      <c r="J56">
        <v>11</v>
      </c>
      <c r="K56">
        <v>3</v>
      </c>
      <c r="L56">
        <v>0</v>
      </c>
      <c r="M56">
        <v>0</v>
      </c>
    </row>
    <row r="57" spans="1:13" x14ac:dyDescent="0.2">
      <c r="A57" t="s">
        <v>32</v>
      </c>
      <c r="B57" t="s">
        <v>82</v>
      </c>
      <c r="C57">
        <v>10</v>
      </c>
      <c r="D57" s="2">
        <v>0.4</v>
      </c>
      <c r="E57">
        <v>0.56000000000000005</v>
      </c>
      <c r="F57" s="2">
        <v>0.6</v>
      </c>
      <c r="G57">
        <v>4</v>
      </c>
      <c r="H57">
        <v>6</v>
      </c>
      <c r="I57">
        <v>5</v>
      </c>
      <c r="J57">
        <v>9</v>
      </c>
      <c r="K57">
        <v>3</v>
      </c>
      <c r="L57">
        <v>0</v>
      </c>
      <c r="M57">
        <v>0</v>
      </c>
    </row>
    <row r="58" spans="1:13" x14ac:dyDescent="0.2">
      <c r="A58" t="s">
        <v>32</v>
      </c>
      <c r="B58" t="s">
        <v>47</v>
      </c>
      <c r="C58">
        <v>7</v>
      </c>
      <c r="D58" s="2">
        <v>0.14299999999999999</v>
      </c>
      <c r="E58">
        <v>0.17</v>
      </c>
      <c r="F58" s="2">
        <v>0</v>
      </c>
      <c r="G58">
        <v>1</v>
      </c>
      <c r="H58">
        <v>6</v>
      </c>
      <c r="I58">
        <v>1</v>
      </c>
      <c r="J58">
        <v>6</v>
      </c>
      <c r="K58">
        <v>1</v>
      </c>
      <c r="L58">
        <v>0</v>
      </c>
      <c r="M58">
        <v>0</v>
      </c>
    </row>
    <row r="59" spans="1:13" x14ac:dyDescent="0.2">
      <c r="A59" t="s">
        <v>32</v>
      </c>
      <c r="B59" t="s">
        <v>73</v>
      </c>
      <c r="C59">
        <v>5</v>
      </c>
      <c r="D59" s="2">
        <v>0.6</v>
      </c>
      <c r="E59">
        <v>0.67</v>
      </c>
      <c r="F59" s="2">
        <v>0.5</v>
      </c>
      <c r="G59">
        <v>3</v>
      </c>
      <c r="H59">
        <v>2</v>
      </c>
      <c r="I59">
        <v>2</v>
      </c>
      <c r="J59">
        <v>3</v>
      </c>
      <c r="K59">
        <v>1</v>
      </c>
      <c r="L59">
        <v>0</v>
      </c>
      <c r="M59">
        <v>0</v>
      </c>
    </row>
    <row r="60" spans="1:13" x14ac:dyDescent="0.2">
      <c r="A60" t="s">
        <v>32</v>
      </c>
      <c r="B60" t="s">
        <v>71</v>
      </c>
      <c r="C60">
        <v>4</v>
      </c>
      <c r="D60" s="2">
        <v>0.25</v>
      </c>
      <c r="E60">
        <v>0.25</v>
      </c>
      <c r="F60" s="2">
        <v>1</v>
      </c>
      <c r="G60">
        <v>1</v>
      </c>
      <c r="H60">
        <v>3</v>
      </c>
      <c r="I60">
        <v>1</v>
      </c>
      <c r="J60">
        <v>4</v>
      </c>
      <c r="K60">
        <v>2</v>
      </c>
      <c r="L60">
        <v>0</v>
      </c>
      <c r="M60">
        <v>0</v>
      </c>
    </row>
    <row r="61" spans="1:13" x14ac:dyDescent="0.2">
      <c r="A61" t="s">
        <v>32</v>
      </c>
      <c r="B61" t="s">
        <v>78</v>
      </c>
      <c r="C61">
        <v>4</v>
      </c>
      <c r="D61" s="2">
        <v>0</v>
      </c>
      <c r="E61">
        <v>0.5</v>
      </c>
      <c r="F61" s="2">
        <v>0</v>
      </c>
      <c r="G61">
        <v>0</v>
      </c>
      <c r="H61">
        <v>4</v>
      </c>
      <c r="I61">
        <v>2</v>
      </c>
      <c r="J61">
        <v>4</v>
      </c>
      <c r="K61">
        <v>1</v>
      </c>
      <c r="L61">
        <v>0</v>
      </c>
      <c r="M61">
        <v>0</v>
      </c>
    </row>
    <row r="62" spans="1:13" x14ac:dyDescent="0.2">
      <c r="A62" t="s">
        <v>32</v>
      </c>
      <c r="B62" t="s">
        <v>52</v>
      </c>
      <c r="C62">
        <v>3</v>
      </c>
      <c r="D62" s="2">
        <v>0.33300000000000002</v>
      </c>
      <c r="E62">
        <v>1.5</v>
      </c>
      <c r="F62" s="2">
        <v>0.66700000000000004</v>
      </c>
      <c r="G62">
        <v>1</v>
      </c>
      <c r="H62">
        <v>2</v>
      </c>
      <c r="I62">
        <v>3</v>
      </c>
      <c r="J62">
        <v>2</v>
      </c>
      <c r="K62">
        <v>0</v>
      </c>
      <c r="L62">
        <v>0</v>
      </c>
      <c r="M62">
        <v>0</v>
      </c>
    </row>
    <row r="63" spans="1:13" x14ac:dyDescent="0.2">
      <c r="A63" t="s">
        <v>32</v>
      </c>
      <c r="B63" t="s">
        <v>53</v>
      </c>
      <c r="C63">
        <v>3</v>
      </c>
      <c r="D63" s="2">
        <v>0.66700000000000004</v>
      </c>
      <c r="E63">
        <v>1</v>
      </c>
      <c r="F63" s="2">
        <v>0.5</v>
      </c>
      <c r="G63">
        <v>2</v>
      </c>
      <c r="H63">
        <v>1</v>
      </c>
      <c r="I63">
        <v>2</v>
      </c>
      <c r="J63">
        <v>2</v>
      </c>
      <c r="K63">
        <v>1</v>
      </c>
      <c r="L63">
        <v>0</v>
      </c>
      <c r="M63">
        <v>0</v>
      </c>
    </row>
    <row r="64" spans="1:13" x14ac:dyDescent="0.2">
      <c r="A64" t="s">
        <v>32</v>
      </c>
      <c r="B64" t="s">
        <v>76</v>
      </c>
      <c r="C64">
        <v>2</v>
      </c>
      <c r="D64" s="2">
        <v>0.5</v>
      </c>
      <c r="E64">
        <v>1</v>
      </c>
      <c r="F64" s="2">
        <v>1</v>
      </c>
      <c r="G64">
        <v>1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</row>
    <row r="65" spans="1:13" x14ac:dyDescent="0.2">
      <c r="A65" t="s">
        <v>32</v>
      </c>
      <c r="B65" t="s">
        <v>54</v>
      </c>
      <c r="C65">
        <v>2</v>
      </c>
      <c r="D65" s="2">
        <v>0</v>
      </c>
      <c r="E65">
        <v>0.5</v>
      </c>
      <c r="F65" s="2">
        <v>0</v>
      </c>
      <c r="G65">
        <v>0</v>
      </c>
      <c r="H65">
        <v>2</v>
      </c>
      <c r="I65">
        <v>1</v>
      </c>
      <c r="J65">
        <v>2</v>
      </c>
      <c r="K65">
        <v>1</v>
      </c>
      <c r="L65">
        <v>0</v>
      </c>
      <c r="M65">
        <v>0</v>
      </c>
    </row>
    <row r="66" spans="1:13" x14ac:dyDescent="0.2">
      <c r="A66" t="s">
        <v>32</v>
      </c>
      <c r="B66" t="s">
        <v>72</v>
      </c>
      <c r="C66">
        <v>1</v>
      </c>
      <c r="D66" s="2">
        <v>0</v>
      </c>
      <c r="E66">
        <v>0</v>
      </c>
      <c r="F66" s="2">
        <v>0</v>
      </c>
      <c r="G66">
        <v>0</v>
      </c>
      <c r="H66">
        <v>1</v>
      </c>
      <c r="I66">
        <v>0</v>
      </c>
      <c r="J66">
        <v>1</v>
      </c>
      <c r="K66">
        <v>0</v>
      </c>
      <c r="L66">
        <v>0</v>
      </c>
      <c r="M66">
        <v>0</v>
      </c>
    </row>
    <row r="67" spans="1:13" x14ac:dyDescent="0.2">
      <c r="A67" t="s">
        <v>32</v>
      </c>
      <c r="B67" t="s">
        <v>55</v>
      </c>
      <c r="C67">
        <v>1</v>
      </c>
      <c r="D67" s="2">
        <v>1</v>
      </c>
      <c r="E67">
        <v>0</v>
      </c>
      <c r="F67" s="2">
        <v>0</v>
      </c>
      <c r="G67">
        <v>1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</row>
    <row r="68" spans="1:13" x14ac:dyDescent="0.2">
      <c r="A68" t="s">
        <v>32</v>
      </c>
      <c r="B68" t="s">
        <v>77</v>
      </c>
      <c r="C68">
        <v>1</v>
      </c>
      <c r="D68" s="2">
        <v>0</v>
      </c>
      <c r="E68">
        <v>1</v>
      </c>
      <c r="F68" s="2">
        <v>0</v>
      </c>
      <c r="G68">
        <v>0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</row>
    <row r="69" spans="1:13" x14ac:dyDescent="0.2">
      <c r="A69" t="s">
        <v>32</v>
      </c>
      <c r="B69" t="s">
        <v>83</v>
      </c>
      <c r="C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 x14ac:dyDescent="0.2">
      <c r="A70" t="s">
        <v>32</v>
      </c>
      <c r="B70" t="s">
        <v>74</v>
      </c>
      <c r="C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 x14ac:dyDescent="0.2">
      <c r="A71" s="3" t="s">
        <v>32</v>
      </c>
      <c r="B71" s="3" t="s">
        <v>86</v>
      </c>
      <c r="C71" s="3">
        <v>0</v>
      </c>
      <c r="D71" s="3"/>
      <c r="E71" s="3"/>
      <c r="F71" s="3"/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1:13" x14ac:dyDescent="0.2">
      <c r="A72" t="s">
        <v>32</v>
      </c>
      <c r="B72" t="s">
        <v>87</v>
      </c>
      <c r="C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 x14ac:dyDescent="0.2">
      <c r="A73" t="s">
        <v>32</v>
      </c>
      <c r="B73" t="s">
        <v>75</v>
      </c>
      <c r="C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 x14ac:dyDescent="0.2">
      <c r="A74" t="s">
        <v>32</v>
      </c>
      <c r="B74" t="s">
        <v>89</v>
      </c>
      <c r="C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 x14ac:dyDescent="0.2">
      <c r="A75" t="s">
        <v>32</v>
      </c>
      <c r="B75" t="s">
        <v>70</v>
      </c>
      <c r="C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31CFE-83C7-3B4A-8625-8D95787F1F6F}">
  <dimension ref="A1:M37"/>
  <sheetViews>
    <sheetView workbookViewId="0">
      <selection activeCell="E41" sqref="E41"/>
    </sheetView>
  </sheetViews>
  <sheetFormatPr baseColWidth="10" defaultRowHeight="16" x14ac:dyDescent="0.2"/>
  <cols>
    <col min="1" max="1" width="15.5" customWidth="1"/>
    <col min="3" max="3" width="15.1640625" customWidth="1"/>
  </cols>
  <sheetData>
    <row r="1" spans="1:13" x14ac:dyDescent="0.2">
      <c r="A1" t="s">
        <v>3</v>
      </c>
      <c r="B1" t="s">
        <v>4</v>
      </c>
      <c r="C1" t="s">
        <v>0</v>
      </c>
      <c r="D1" t="s">
        <v>1</v>
      </c>
      <c r="E1" t="s">
        <v>2</v>
      </c>
      <c r="F1" t="s">
        <v>23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">
      <c r="A2" t="s">
        <v>12</v>
      </c>
      <c r="B2" t="s">
        <v>13</v>
      </c>
      <c r="C2">
        <v>287</v>
      </c>
      <c r="D2" s="2">
        <v>0.61299999999999999</v>
      </c>
      <c r="E2">
        <v>1.38</v>
      </c>
      <c r="F2" s="2">
        <v>0.34399999999999997</v>
      </c>
      <c r="G2">
        <v>176</v>
      </c>
      <c r="H2">
        <v>111</v>
      </c>
      <c r="I2">
        <v>253</v>
      </c>
      <c r="J2">
        <v>183</v>
      </c>
      <c r="K2">
        <v>131</v>
      </c>
      <c r="L2">
        <v>0</v>
      </c>
      <c r="M2">
        <v>1</v>
      </c>
    </row>
    <row r="3" spans="1:13" x14ac:dyDescent="0.2">
      <c r="A3" t="s">
        <v>12</v>
      </c>
      <c r="B3" t="s">
        <v>14</v>
      </c>
      <c r="C3">
        <v>89</v>
      </c>
      <c r="D3" s="2">
        <v>0.61799999999999999</v>
      </c>
      <c r="E3">
        <v>1.28</v>
      </c>
      <c r="F3" s="2">
        <v>0.26500000000000001</v>
      </c>
      <c r="G3">
        <v>55</v>
      </c>
      <c r="H3">
        <v>34</v>
      </c>
      <c r="I3">
        <v>68</v>
      </c>
      <c r="J3">
        <v>53</v>
      </c>
      <c r="K3">
        <v>22</v>
      </c>
      <c r="L3">
        <v>0</v>
      </c>
      <c r="M3">
        <v>0</v>
      </c>
    </row>
    <row r="4" spans="1:13" x14ac:dyDescent="0.2">
      <c r="A4" t="s">
        <v>12</v>
      </c>
      <c r="B4" t="s">
        <v>25</v>
      </c>
      <c r="C4">
        <v>45</v>
      </c>
      <c r="D4" s="2">
        <v>0.44400000000000001</v>
      </c>
      <c r="E4">
        <v>0.97</v>
      </c>
      <c r="F4" s="2">
        <v>0.16700000000000001</v>
      </c>
      <c r="G4">
        <v>20</v>
      </c>
      <c r="H4">
        <v>25</v>
      </c>
      <c r="I4">
        <v>30</v>
      </c>
      <c r="J4">
        <v>31</v>
      </c>
      <c r="K4">
        <v>4</v>
      </c>
      <c r="L4">
        <v>0</v>
      </c>
      <c r="M4">
        <v>0</v>
      </c>
    </row>
    <row r="5" spans="1:13" x14ac:dyDescent="0.2">
      <c r="A5" t="s">
        <v>12</v>
      </c>
      <c r="B5" t="s">
        <v>17</v>
      </c>
      <c r="C5">
        <v>43</v>
      </c>
      <c r="D5" s="2">
        <v>0.53500000000000003</v>
      </c>
      <c r="E5">
        <v>1.21</v>
      </c>
      <c r="F5" s="2">
        <v>0.58599999999999997</v>
      </c>
      <c r="G5">
        <v>23</v>
      </c>
      <c r="H5">
        <v>20</v>
      </c>
      <c r="I5">
        <v>29</v>
      </c>
      <c r="J5">
        <v>24</v>
      </c>
      <c r="K5">
        <v>4</v>
      </c>
      <c r="L5">
        <v>0</v>
      </c>
      <c r="M5">
        <v>0</v>
      </c>
    </row>
    <row r="6" spans="1:13" x14ac:dyDescent="0.2">
      <c r="A6" t="s">
        <v>12</v>
      </c>
      <c r="B6" t="s">
        <v>19</v>
      </c>
      <c r="C6">
        <v>32</v>
      </c>
      <c r="D6" s="2">
        <v>0.59399999999999997</v>
      </c>
      <c r="E6">
        <v>1.22</v>
      </c>
      <c r="F6" s="2">
        <v>0.27300000000000002</v>
      </c>
      <c r="G6">
        <v>19</v>
      </c>
      <c r="H6">
        <v>13</v>
      </c>
      <c r="I6">
        <v>22</v>
      </c>
      <c r="J6">
        <v>18</v>
      </c>
      <c r="K6">
        <v>6</v>
      </c>
      <c r="L6">
        <v>0</v>
      </c>
      <c r="M6">
        <v>0</v>
      </c>
    </row>
    <row r="7" spans="1:13" x14ac:dyDescent="0.2">
      <c r="A7" t="s">
        <v>12</v>
      </c>
      <c r="B7" t="s">
        <v>18</v>
      </c>
      <c r="C7">
        <v>19</v>
      </c>
      <c r="D7" s="2">
        <v>0.57899999999999996</v>
      </c>
      <c r="E7">
        <v>0.75</v>
      </c>
      <c r="F7" s="2">
        <v>0.77800000000000002</v>
      </c>
      <c r="G7">
        <v>11</v>
      </c>
      <c r="H7">
        <v>8</v>
      </c>
      <c r="I7">
        <v>9</v>
      </c>
      <c r="J7">
        <v>12</v>
      </c>
      <c r="K7">
        <v>3</v>
      </c>
      <c r="L7">
        <v>0</v>
      </c>
      <c r="M7">
        <v>0</v>
      </c>
    </row>
    <row r="8" spans="1:13" x14ac:dyDescent="0.2">
      <c r="A8" t="s">
        <v>12</v>
      </c>
      <c r="B8" t="s">
        <v>26</v>
      </c>
      <c r="C8">
        <v>14</v>
      </c>
      <c r="D8" s="2">
        <v>0.64300000000000002</v>
      </c>
      <c r="E8">
        <v>0.7</v>
      </c>
      <c r="F8" s="2">
        <v>0.71399999999999997</v>
      </c>
      <c r="G8">
        <v>9</v>
      </c>
      <c r="H8">
        <v>5</v>
      </c>
      <c r="I8">
        <v>7</v>
      </c>
      <c r="J8">
        <v>10</v>
      </c>
      <c r="K8">
        <v>9</v>
      </c>
      <c r="L8">
        <v>0</v>
      </c>
      <c r="M8">
        <v>0</v>
      </c>
    </row>
    <row r="9" spans="1:13" x14ac:dyDescent="0.2">
      <c r="A9" t="s">
        <v>12</v>
      </c>
      <c r="B9" t="s">
        <v>29</v>
      </c>
      <c r="C9">
        <v>6</v>
      </c>
      <c r="D9" s="2">
        <v>0.83299999999999996</v>
      </c>
      <c r="E9">
        <v>1</v>
      </c>
      <c r="F9" s="2">
        <v>0.25</v>
      </c>
      <c r="G9">
        <v>5</v>
      </c>
      <c r="H9">
        <v>1</v>
      </c>
      <c r="I9">
        <v>4</v>
      </c>
      <c r="J9">
        <v>4</v>
      </c>
      <c r="K9">
        <v>5</v>
      </c>
      <c r="L9">
        <v>0</v>
      </c>
      <c r="M9">
        <v>0</v>
      </c>
    </row>
    <row r="10" spans="1:13" x14ac:dyDescent="0.2">
      <c r="A10" t="s">
        <v>12</v>
      </c>
      <c r="B10" t="s">
        <v>62</v>
      </c>
      <c r="C10">
        <v>5</v>
      </c>
      <c r="D10" s="2">
        <v>0.6</v>
      </c>
      <c r="E10">
        <v>1</v>
      </c>
      <c r="F10" s="2">
        <v>0.25</v>
      </c>
      <c r="G10">
        <v>3</v>
      </c>
      <c r="H10">
        <v>2</v>
      </c>
      <c r="I10">
        <v>4</v>
      </c>
      <c r="J10">
        <v>4</v>
      </c>
      <c r="K10">
        <v>1</v>
      </c>
      <c r="L10">
        <v>0</v>
      </c>
      <c r="M10">
        <v>0</v>
      </c>
    </row>
    <row r="11" spans="1:13" x14ac:dyDescent="0.2">
      <c r="A11" t="s">
        <v>12</v>
      </c>
      <c r="B11" t="s">
        <v>22</v>
      </c>
      <c r="C11">
        <v>5</v>
      </c>
      <c r="D11" s="2">
        <v>0.4</v>
      </c>
      <c r="E11">
        <v>1.25</v>
      </c>
      <c r="F11" s="2">
        <v>0.4</v>
      </c>
      <c r="G11">
        <v>2</v>
      </c>
      <c r="H11">
        <v>3</v>
      </c>
      <c r="I11">
        <v>5</v>
      </c>
      <c r="J11">
        <v>4</v>
      </c>
      <c r="K11">
        <v>1</v>
      </c>
      <c r="L11">
        <v>0</v>
      </c>
      <c r="M11">
        <v>0</v>
      </c>
    </row>
    <row r="12" spans="1:13" x14ac:dyDescent="0.2">
      <c r="A12" t="s">
        <v>12</v>
      </c>
      <c r="B12" t="s">
        <v>31</v>
      </c>
      <c r="C12">
        <v>3</v>
      </c>
      <c r="D12" s="2">
        <v>0</v>
      </c>
      <c r="E12">
        <v>0.33</v>
      </c>
      <c r="F12" s="2">
        <v>1</v>
      </c>
      <c r="G12">
        <v>0</v>
      </c>
      <c r="H12">
        <v>3</v>
      </c>
      <c r="I12">
        <v>1</v>
      </c>
      <c r="J12">
        <v>3</v>
      </c>
      <c r="K12">
        <v>0</v>
      </c>
      <c r="L12">
        <v>0</v>
      </c>
      <c r="M12">
        <v>0</v>
      </c>
    </row>
    <row r="13" spans="1:13" x14ac:dyDescent="0.2">
      <c r="A13" t="s">
        <v>12</v>
      </c>
      <c r="B13" t="s">
        <v>60</v>
      </c>
      <c r="C13">
        <v>2</v>
      </c>
      <c r="D13" s="2">
        <v>0</v>
      </c>
      <c r="E13">
        <v>2.5</v>
      </c>
      <c r="F13" s="2">
        <v>0.4</v>
      </c>
      <c r="G13">
        <v>0</v>
      </c>
      <c r="H13">
        <v>2</v>
      </c>
      <c r="I13">
        <v>5</v>
      </c>
      <c r="J13">
        <v>2</v>
      </c>
      <c r="K13">
        <v>0</v>
      </c>
      <c r="L13">
        <v>0</v>
      </c>
      <c r="M13">
        <v>0</v>
      </c>
    </row>
    <row r="14" spans="1:13" x14ac:dyDescent="0.2">
      <c r="A14" t="s">
        <v>12</v>
      </c>
      <c r="B14" t="s">
        <v>16</v>
      </c>
      <c r="C14">
        <v>2</v>
      </c>
      <c r="D14" s="2">
        <v>1</v>
      </c>
      <c r="E14">
        <v>0</v>
      </c>
      <c r="F14" s="2">
        <v>0</v>
      </c>
      <c r="G14">
        <v>2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</row>
    <row r="15" spans="1:13" x14ac:dyDescent="0.2">
      <c r="A15" t="s">
        <v>12</v>
      </c>
      <c r="B15" t="s">
        <v>20</v>
      </c>
      <c r="C15">
        <v>2</v>
      </c>
      <c r="D15" s="2">
        <v>0</v>
      </c>
      <c r="E15">
        <v>0</v>
      </c>
      <c r="F15" s="2">
        <v>0</v>
      </c>
      <c r="G15">
        <v>0</v>
      </c>
      <c r="H15">
        <v>2</v>
      </c>
      <c r="I15">
        <v>0</v>
      </c>
      <c r="J15">
        <v>2</v>
      </c>
      <c r="K15">
        <v>0</v>
      </c>
      <c r="L15">
        <v>0</v>
      </c>
      <c r="M15">
        <v>0</v>
      </c>
    </row>
    <row r="16" spans="1:13" x14ac:dyDescent="0.2">
      <c r="A16" t="s">
        <v>12</v>
      </c>
      <c r="B16" t="s">
        <v>27</v>
      </c>
      <c r="C16">
        <v>2</v>
      </c>
      <c r="D16" s="2">
        <v>1</v>
      </c>
      <c r="E16">
        <v>4</v>
      </c>
      <c r="F16" s="2">
        <v>0.75</v>
      </c>
      <c r="G16">
        <v>2</v>
      </c>
      <c r="H16">
        <v>0</v>
      </c>
      <c r="I16">
        <v>4</v>
      </c>
      <c r="J16">
        <v>0</v>
      </c>
      <c r="K16">
        <v>0</v>
      </c>
      <c r="L16">
        <v>0</v>
      </c>
      <c r="M16">
        <v>0</v>
      </c>
    </row>
    <row r="17" spans="1:13" x14ac:dyDescent="0.2">
      <c r="A17" t="s">
        <v>12</v>
      </c>
      <c r="B17" t="s">
        <v>68</v>
      </c>
      <c r="C17">
        <v>1</v>
      </c>
      <c r="D17" s="2">
        <v>1</v>
      </c>
      <c r="E17">
        <v>1</v>
      </c>
      <c r="F17" s="2">
        <v>1</v>
      </c>
      <c r="G17">
        <v>1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</row>
    <row r="18" spans="1:13" x14ac:dyDescent="0.2">
      <c r="A18" t="s">
        <v>12</v>
      </c>
      <c r="B18" t="s">
        <v>15</v>
      </c>
      <c r="C18">
        <v>1</v>
      </c>
      <c r="D18" s="2">
        <v>0</v>
      </c>
      <c r="E18">
        <v>0</v>
      </c>
      <c r="F18" s="2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</row>
    <row r="19" spans="1:13" x14ac:dyDescent="0.2">
      <c r="A19" t="s">
        <v>32</v>
      </c>
      <c r="B19" t="s">
        <v>33</v>
      </c>
      <c r="C19">
        <v>101</v>
      </c>
      <c r="D19" s="2">
        <v>0.495</v>
      </c>
      <c r="E19">
        <v>0.9</v>
      </c>
      <c r="F19" s="2">
        <v>0.61699999999999999</v>
      </c>
      <c r="G19">
        <v>50</v>
      </c>
      <c r="H19">
        <v>51</v>
      </c>
      <c r="I19">
        <v>60</v>
      </c>
      <c r="J19">
        <v>67</v>
      </c>
      <c r="K19">
        <v>25</v>
      </c>
      <c r="L19">
        <v>0</v>
      </c>
      <c r="M19">
        <v>0</v>
      </c>
    </row>
    <row r="20" spans="1:13" x14ac:dyDescent="0.2">
      <c r="A20" t="s">
        <v>32</v>
      </c>
      <c r="B20" t="s">
        <v>44</v>
      </c>
      <c r="C20">
        <v>80</v>
      </c>
      <c r="D20" s="2">
        <v>0.41199999999999998</v>
      </c>
      <c r="E20">
        <v>0.71</v>
      </c>
      <c r="F20" s="2">
        <v>0.57499999999999996</v>
      </c>
      <c r="G20">
        <v>33</v>
      </c>
      <c r="H20">
        <v>47</v>
      </c>
      <c r="I20">
        <v>40</v>
      </c>
      <c r="J20">
        <v>56</v>
      </c>
      <c r="K20">
        <v>7</v>
      </c>
      <c r="L20">
        <v>0</v>
      </c>
      <c r="M20">
        <v>0</v>
      </c>
    </row>
    <row r="21" spans="1:13" x14ac:dyDescent="0.2">
      <c r="A21" t="s">
        <v>32</v>
      </c>
      <c r="B21" t="s">
        <v>41</v>
      </c>
      <c r="C21">
        <v>65</v>
      </c>
      <c r="D21" s="2">
        <v>0.33800000000000002</v>
      </c>
      <c r="E21">
        <v>0.74</v>
      </c>
      <c r="F21" s="2">
        <v>0.371</v>
      </c>
      <c r="G21">
        <v>22</v>
      </c>
      <c r="H21">
        <v>43</v>
      </c>
      <c r="I21">
        <v>35</v>
      </c>
      <c r="J21">
        <v>47</v>
      </c>
      <c r="K21">
        <v>11</v>
      </c>
      <c r="L21">
        <v>0</v>
      </c>
      <c r="M21">
        <v>0</v>
      </c>
    </row>
    <row r="22" spans="1:13" x14ac:dyDescent="0.2">
      <c r="A22" t="s">
        <v>32</v>
      </c>
      <c r="B22" t="s">
        <v>34</v>
      </c>
      <c r="C22">
        <v>55</v>
      </c>
      <c r="D22" s="2">
        <v>0.45500000000000002</v>
      </c>
      <c r="E22">
        <v>1.1200000000000001</v>
      </c>
      <c r="F22" s="2">
        <v>0.58299999999999996</v>
      </c>
      <c r="G22">
        <v>25</v>
      </c>
      <c r="H22">
        <v>30</v>
      </c>
      <c r="I22">
        <v>36</v>
      </c>
      <c r="J22">
        <v>32</v>
      </c>
      <c r="K22">
        <v>9</v>
      </c>
      <c r="L22">
        <v>0</v>
      </c>
      <c r="M22">
        <v>1</v>
      </c>
    </row>
    <row r="23" spans="1:13" x14ac:dyDescent="0.2">
      <c r="A23" t="s">
        <v>32</v>
      </c>
      <c r="B23" t="s">
        <v>37</v>
      </c>
      <c r="C23">
        <v>46</v>
      </c>
      <c r="D23" s="2">
        <v>0.52200000000000002</v>
      </c>
      <c r="E23">
        <v>1.26</v>
      </c>
      <c r="F23" s="2">
        <v>0.64700000000000002</v>
      </c>
      <c r="G23">
        <v>24</v>
      </c>
      <c r="H23">
        <v>22</v>
      </c>
      <c r="I23">
        <v>34</v>
      </c>
      <c r="J23">
        <v>27</v>
      </c>
      <c r="K23">
        <v>12</v>
      </c>
      <c r="L23">
        <v>0</v>
      </c>
      <c r="M23">
        <v>0</v>
      </c>
    </row>
    <row r="24" spans="1:13" x14ac:dyDescent="0.2">
      <c r="A24" t="s">
        <v>32</v>
      </c>
      <c r="B24" t="s">
        <v>46</v>
      </c>
      <c r="C24">
        <v>41</v>
      </c>
      <c r="D24" s="2">
        <v>0.58499999999999996</v>
      </c>
      <c r="E24">
        <v>1.63</v>
      </c>
      <c r="F24" s="2">
        <v>0.67700000000000005</v>
      </c>
      <c r="G24">
        <v>24</v>
      </c>
      <c r="H24">
        <v>17</v>
      </c>
      <c r="I24">
        <v>31</v>
      </c>
      <c r="J24">
        <v>19</v>
      </c>
      <c r="K24">
        <v>2</v>
      </c>
      <c r="L24">
        <v>0</v>
      </c>
      <c r="M24">
        <v>0</v>
      </c>
    </row>
    <row r="25" spans="1:13" x14ac:dyDescent="0.2">
      <c r="A25" t="s">
        <v>32</v>
      </c>
      <c r="B25" t="s">
        <v>39</v>
      </c>
      <c r="C25">
        <v>34</v>
      </c>
      <c r="D25" s="2">
        <v>0.38200000000000001</v>
      </c>
      <c r="E25">
        <v>1.21</v>
      </c>
      <c r="F25" s="2">
        <v>0.30399999999999999</v>
      </c>
      <c r="G25">
        <v>13</v>
      </c>
      <c r="H25">
        <v>21</v>
      </c>
      <c r="I25">
        <v>23</v>
      </c>
      <c r="J25">
        <v>19</v>
      </c>
      <c r="K25">
        <v>11</v>
      </c>
      <c r="L25">
        <v>0</v>
      </c>
      <c r="M25">
        <v>0</v>
      </c>
    </row>
    <row r="26" spans="1:13" x14ac:dyDescent="0.2">
      <c r="A26" t="s">
        <v>32</v>
      </c>
      <c r="B26" t="s">
        <v>35</v>
      </c>
      <c r="C26">
        <v>33</v>
      </c>
      <c r="D26" s="2">
        <v>0.54500000000000004</v>
      </c>
      <c r="E26">
        <v>0.95</v>
      </c>
      <c r="F26" s="2">
        <v>0.61899999999999999</v>
      </c>
      <c r="G26">
        <v>18</v>
      </c>
      <c r="H26">
        <v>15</v>
      </c>
      <c r="I26">
        <v>21</v>
      </c>
      <c r="J26">
        <v>22</v>
      </c>
      <c r="K26">
        <v>6</v>
      </c>
      <c r="L26">
        <v>0</v>
      </c>
      <c r="M26">
        <v>0</v>
      </c>
    </row>
    <row r="27" spans="1:13" x14ac:dyDescent="0.2">
      <c r="A27" t="s">
        <v>32</v>
      </c>
      <c r="B27" t="s">
        <v>43</v>
      </c>
      <c r="C27">
        <v>28</v>
      </c>
      <c r="D27" s="2">
        <v>0.64300000000000002</v>
      </c>
      <c r="E27">
        <v>1.08</v>
      </c>
      <c r="F27" s="2">
        <v>0.308</v>
      </c>
      <c r="G27">
        <v>18</v>
      </c>
      <c r="H27">
        <v>10</v>
      </c>
      <c r="I27">
        <v>13</v>
      </c>
      <c r="J27">
        <v>12</v>
      </c>
      <c r="K27">
        <v>2</v>
      </c>
      <c r="L27">
        <v>0</v>
      </c>
      <c r="M27">
        <v>0</v>
      </c>
    </row>
    <row r="28" spans="1:13" x14ac:dyDescent="0.2">
      <c r="A28" t="s">
        <v>32</v>
      </c>
      <c r="B28" t="s">
        <v>38</v>
      </c>
      <c r="C28">
        <v>21</v>
      </c>
      <c r="D28" s="2">
        <v>0.47599999999999998</v>
      </c>
      <c r="E28">
        <v>0.59</v>
      </c>
      <c r="F28" s="2">
        <v>0.5</v>
      </c>
      <c r="G28">
        <v>10</v>
      </c>
      <c r="H28">
        <v>11</v>
      </c>
      <c r="I28">
        <v>10</v>
      </c>
      <c r="J28">
        <v>17</v>
      </c>
      <c r="K28">
        <v>3</v>
      </c>
      <c r="L28">
        <v>0</v>
      </c>
      <c r="M28">
        <v>0</v>
      </c>
    </row>
    <row r="29" spans="1:13" x14ac:dyDescent="0.2">
      <c r="A29" t="s">
        <v>32</v>
      </c>
      <c r="B29" t="s">
        <v>40</v>
      </c>
      <c r="C29">
        <v>19</v>
      </c>
      <c r="D29" s="2">
        <v>0.42099999999999999</v>
      </c>
      <c r="E29">
        <v>1</v>
      </c>
      <c r="F29" s="2">
        <v>0.72699999999999998</v>
      </c>
      <c r="G29">
        <v>8</v>
      </c>
      <c r="H29">
        <v>11</v>
      </c>
      <c r="I29">
        <v>11</v>
      </c>
      <c r="J29">
        <v>11</v>
      </c>
      <c r="K29">
        <v>6</v>
      </c>
      <c r="L29">
        <v>0</v>
      </c>
      <c r="M29">
        <v>0</v>
      </c>
    </row>
    <row r="30" spans="1:13" x14ac:dyDescent="0.2">
      <c r="A30" t="s">
        <v>32</v>
      </c>
      <c r="B30" t="s">
        <v>45</v>
      </c>
      <c r="C30">
        <v>8</v>
      </c>
      <c r="D30" s="2">
        <v>0.125</v>
      </c>
      <c r="E30">
        <v>0.67</v>
      </c>
      <c r="F30" s="2">
        <v>0.75</v>
      </c>
      <c r="G30">
        <v>1</v>
      </c>
      <c r="H30">
        <v>7</v>
      </c>
      <c r="I30">
        <v>4</v>
      </c>
      <c r="J30">
        <v>6</v>
      </c>
      <c r="K30">
        <v>1</v>
      </c>
      <c r="L30">
        <v>0</v>
      </c>
      <c r="M30">
        <v>0</v>
      </c>
    </row>
    <row r="31" spans="1:13" x14ac:dyDescent="0.2">
      <c r="A31" t="s">
        <v>32</v>
      </c>
      <c r="B31" t="s">
        <v>50</v>
      </c>
      <c r="C31">
        <v>8</v>
      </c>
      <c r="D31" s="2">
        <v>0.5</v>
      </c>
      <c r="E31">
        <v>0.6</v>
      </c>
      <c r="F31" s="2">
        <v>1</v>
      </c>
      <c r="G31">
        <v>4</v>
      </c>
      <c r="H31">
        <v>4</v>
      </c>
      <c r="I31">
        <v>3</v>
      </c>
      <c r="J31">
        <v>5</v>
      </c>
      <c r="K31">
        <v>2</v>
      </c>
      <c r="L31">
        <v>0</v>
      </c>
      <c r="M31">
        <v>0</v>
      </c>
    </row>
    <row r="32" spans="1:13" x14ac:dyDescent="0.2">
      <c r="A32" t="s">
        <v>32</v>
      </c>
      <c r="B32" t="s">
        <v>47</v>
      </c>
      <c r="C32">
        <v>7</v>
      </c>
      <c r="D32" s="2">
        <v>0.14299999999999999</v>
      </c>
      <c r="E32">
        <v>0.17</v>
      </c>
      <c r="F32" s="2">
        <v>0</v>
      </c>
      <c r="G32">
        <v>1</v>
      </c>
      <c r="H32">
        <v>6</v>
      </c>
      <c r="I32">
        <v>1</v>
      </c>
      <c r="J32">
        <v>6</v>
      </c>
      <c r="K32">
        <v>1</v>
      </c>
      <c r="L32">
        <v>0</v>
      </c>
      <c r="M32">
        <v>0</v>
      </c>
    </row>
    <row r="33" spans="1:13" x14ac:dyDescent="0.2">
      <c r="A33" t="s">
        <v>32</v>
      </c>
      <c r="B33" t="s">
        <v>42</v>
      </c>
      <c r="C33">
        <v>7</v>
      </c>
      <c r="D33" s="2">
        <v>0.57099999999999995</v>
      </c>
      <c r="E33">
        <v>1.25</v>
      </c>
      <c r="F33" s="2">
        <v>0.4</v>
      </c>
      <c r="G33">
        <v>4</v>
      </c>
      <c r="H33">
        <v>3</v>
      </c>
      <c r="I33">
        <v>5</v>
      </c>
      <c r="J33">
        <v>4</v>
      </c>
      <c r="K33">
        <v>1</v>
      </c>
      <c r="L33">
        <v>0</v>
      </c>
      <c r="M33">
        <v>0</v>
      </c>
    </row>
    <row r="34" spans="1:13" x14ac:dyDescent="0.2">
      <c r="A34" t="s">
        <v>32</v>
      </c>
      <c r="B34" t="s">
        <v>36</v>
      </c>
      <c r="C34">
        <v>5</v>
      </c>
      <c r="D34" s="2">
        <v>0.6</v>
      </c>
      <c r="E34">
        <v>0.67</v>
      </c>
      <c r="F34" s="2">
        <v>1</v>
      </c>
      <c r="G34">
        <v>3</v>
      </c>
      <c r="H34">
        <v>2</v>
      </c>
      <c r="I34">
        <v>2</v>
      </c>
      <c r="J34">
        <v>3</v>
      </c>
      <c r="K34">
        <v>1</v>
      </c>
      <c r="L34">
        <v>0</v>
      </c>
      <c r="M34">
        <v>0</v>
      </c>
    </row>
    <row r="35" spans="1:13" x14ac:dyDescent="0.2">
      <c r="A35" t="s">
        <v>32</v>
      </c>
      <c r="B35" t="s">
        <v>49</v>
      </c>
      <c r="C35">
        <v>4</v>
      </c>
      <c r="D35" s="2">
        <v>0</v>
      </c>
      <c r="E35">
        <v>0</v>
      </c>
      <c r="F35" s="2">
        <v>0</v>
      </c>
      <c r="G35">
        <v>0</v>
      </c>
      <c r="H35">
        <v>4</v>
      </c>
      <c r="I35">
        <v>0</v>
      </c>
      <c r="J35">
        <v>4</v>
      </c>
      <c r="K35">
        <v>0</v>
      </c>
      <c r="L35">
        <v>0</v>
      </c>
      <c r="M35">
        <v>0</v>
      </c>
    </row>
    <row r="36" spans="1:13" x14ac:dyDescent="0.2">
      <c r="A36" t="s">
        <v>32</v>
      </c>
      <c r="B36" t="s">
        <v>73</v>
      </c>
      <c r="C36">
        <v>3</v>
      </c>
      <c r="D36" s="2">
        <v>0.66700000000000004</v>
      </c>
      <c r="E36">
        <v>0.5</v>
      </c>
      <c r="F36" s="2">
        <v>0</v>
      </c>
      <c r="G36">
        <v>2</v>
      </c>
      <c r="H36">
        <v>1</v>
      </c>
      <c r="I36">
        <v>1</v>
      </c>
      <c r="J36">
        <v>2</v>
      </c>
      <c r="K36">
        <v>0</v>
      </c>
      <c r="L36">
        <v>0</v>
      </c>
      <c r="M36">
        <v>0</v>
      </c>
    </row>
    <row r="37" spans="1:13" x14ac:dyDescent="0.2">
      <c r="A37" t="s">
        <v>32</v>
      </c>
      <c r="B37" t="s">
        <v>69</v>
      </c>
      <c r="C37">
        <v>2</v>
      </c>
      <c r="D37" s="2">
        <v>1</v>
      </c>
      <c r="E37">
        <v>1</v>
      </c>
      <c r="F37" s="2">
        <v>1</v>
      </c>
      <c r="G37">
        <v>2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FB8CB-F668-BE45-A8B0-15EE688C341C}">
  <dimension ref="B3:AQ78"/>
  <sheetViews>
    <sheetView workbookViewId="0">
      <selection activeCell="AD40" sqref="AD40"/>
    </sheetView>
  </sheetViews>
  <sheetFormatPr baseColWidth="10" defaultRowHeight="16" x14ac:dyDescent="0.2"/>
  <cols>
    <col min="2" max="2" width="14.83203125" customWidth="1"/>
    <col min="3" max="3" width="13.1640625" customWidth="1"/>
    <col min="4" max="4" width="15.33203125" customWidth="1"/>
    <col min="5" max="5" width="13.5" customWidth="1"/>
    <col min="7" max="7" width="12.6640625" customWidth="1"/>
    <col min="16" max="16" width="14.83203125" customWidth="1"/>
    <col min="17" max="17" width="13.1640625" customWidth="1"/>
    <col min="18" max="18" width="15.33203125" customWidth="1"/>
    <col min="19" max="19" width="13.5" customWidth="1"/>
    <col min="21" max="21" width="12.6640625" customWidth="1"/>
    <col min="33" max="33" width="17.83203125" customWidth="1"/>
  </cols>
  <sheetData>
    <row r="3" spans="2:43" x14ac:dyDescent="0.2">
      <c r="B3" t="s">
        <v>90</v>
      </c>
    </row>
    <row r="4" spans="2:43" x14ac:dyDescent="0.2">
      <c r="B4" t="s">
        <v>3</v>
      </c>
      <c r="C4" t="s">
        <v>4</v>
      </c>
      <c r="D4" t="s">
        <v>0</v>
      </c>
      <c r="E4" t="s">
        <v>1</v>
      </c>
      <c r="F4" t="s">
        <v>2</v>
      </c>
      <c r="G4" t="s">
        <v>23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P4" t="s">
        <v>3</v>
      </c>
      <c r="Q4" t="s">
        <v>4</v>
      </c>
      <c r="R4" t="s">
        <v>0</v>
      </c>
      <c r="S4" t="s">
        <v>1</v>
      </c>
      <c r="T4" t="s">
        <v>2</v>
      </c>
      <c r="U4" t="s">
        <v>23</v>
      </c>
      <c r="V4" t="s">
        <v>5</v>
      </c>
      <c r="W4" t="s">
        <v>6</v>
      </c>
      <c r="X4" t="s">
        <v>7</v>
      </c>
      <c r="Y4" t="s">
        <v>8</v>
      </c>
      <c r="Z4" t="s">
        <v>9</v>
      </c>
      <c r="AA4" t="s">
        <v>10</v>
      </c>
      <c r="AB4" t="s">
        <v>11</v>
      </c>
      <c r="AE4" t="s">
        <v>3</v>
      </c>
      <c r="AF4" t="s">
        <v>4</v>
      </c>
      <c r="AG4" t="s">
        <v>0</v>
      </c>
      <c r="AH4" t="s">
        <v>1</v>
      </c>
      <c r="AI4" t="s">
        <v>2</v>
      </c>
      <c r="AJ4" t="s">
        <v>23</v>
      </c>
      <c r="AK4" t="s">
        <v>5</v>
      </c>
      <c r="AL4" t="s">
        <v>6</v>
      </c>
      <c r="AM4" t="s">
        <v>7</v>
      </c>
      <c r="AN4" t="s">
        <v>8</v>
      </c>
      <c r="AO4" t="s">
        <v>9</v>
      </c>
      <c r="AP4" t="s">
        <v>10</v>
      </c>
      <c r="AQ4" t="s">
        <v>11</v>
      </c>
    </row>
    <row r="5" spans="2:43" x14ac:dyDescent="0.2">
      <c r="B5" t="s">
        <v>32</v>
      </c>
      <c r="C5" t="s">
        <v>69</v>
      </c>
      <c r="D5">
        <v>52</v>
      </c>
      <c r="E5" s="2">
        <v>0.42299999999999999</v>
      </c>
      <c r="F5">
        <v>0.74</v>
      </c>
      <c r="G5" s="2">
        <v>0.58599999999999997</v>
      </c>
      <c r="H5">
        <v>22</v>
      </c>
      <c r="I5">
        <v>30</v>
      </c>
      <c r="J5">
        <v>29</v>
      </c>
      <c r="K5">
        <v>39</v>
      </c>
      <c r="L5">
        <v>15</v>
      </c>
      <c r="M5">
        <v>0</v>
      </c>
      <c r="N5">
        <v>0</v>
      </c>
      <c r="P5" t="s">
        <v>32</v>
      </c>
      <c r="Q5" t="s">
        <v>69</v>
      </c>
      <c r="R5">
        <v>37</v>
      </c>
      <c r="S5" s="2">
        <v>0.378</v>
      </c>
      <c r="T5">
        <v>1.04</v>
      </c>
      <c r="U5" s="2">
        <v>0.56000000000000005</v>
      </c>
      <c r="V5">
        <v>14</v>
      </c>
      <c r="W5">
        <v>23</v>
      </c>
      <c r="X5">
        <v>25</v>
      </c>
      <c r="Y5">
        <v>24</v>
      </c>
      <c r="Z5">
        <v>10</v>
      </c>
      <c r="AA5">
        <v>0</v>
      </c>
      <c r="AB5">
        <v>0</v>
      </c>
      <c r="AE5" t="s">
        <v>32</v>
      </c>
      <c r="AF5" t="s">
        <v>69</v>
      </c>
      <c r="AG5">
        <f>SUM(D5,R5)</f>
        <v>89</v>
      </c>
      <c r="AH5" s="2">
        <f>SUM(AK5/AG5)</f>
        <v>0.4044943820224719</v>
      </c>
      <c r="AI5" s="2">
        <f>SUM(AM5/AN5)</f>
        <v>0.8571428571428571</v>
      </c>
      <c r="AK5">
        <f>SUM(H5,V5)</f>
        <v>36</v>
      </c>
      <c r="AL5">
        <f>SUM(I5,W5)</f>
        <v>53</v>
      </c>
      <c r="AM5">
        <f>SUM(J5,X5)</f>
        <v>54</v>
      </c>
      <c r="AN5">
        <f t="shared" ref="AN5:AQ5" si="0">SUM(K5,Y5)</f>
        <v>63</v>
      </c>
      <c r="AO5">
        <f t="shared" si="0"/>
        <v>25</v>
      </c>
      <c r="AP5">
        <f t="shared" si="0"/>
        <v>0</v>
      </c>
      <c r="AQ5">
        <f t="shared" si="0"/>
        <v>0</v>
      </c>
    </row>
    <row r="6" spans="2:43" x14ac:dyDescent="0.2">
      <c r="B6" t="s">
        <v>12</v>
      </c>
      <c r="C6" t="s">
        <v>56</v>
      </c>
      <c r="D6">
        <v>61</v>
      </c>
      <c r="E6" s="2">
        <v>0.36099999999999999</v>
      </c>
      <c r="F6">
        <v>0.67</v>
      </c>
      <c r="G6" s="2">
        <v>0.68600000000000005</v>
      </c>
      <c r="H6">
        <v>22</v>
      </c>
      <c r="I6">
        <v>39</v>
      </c>
      <c r="J6">
        <v>35</v>
      </c>
      <c r="K6">
        <v>52</v>
      </c>
      <c r="L6">
        <v>12</v>
      </c>
      <c r="M6">
        <v>0</v>
      </c>
      <c r="N6">
        <v>0</v>
      </c>
      <c r="P6" t="s">
        <v>12</v>
      </c>
      <c r="Q6" t="s">
        <v>56</v>
      </c>
      <c r="R6">
        <v>10</v>
      </c>
      <c r="S6" s="2">
        <v>0.5</v>
      </c>
      <c r="T6">
        <v>1.29</v>
      </c>
      <c r="U6" s="2">
        <v>0.222</v>
      </c>
      <c r="V6">
        <v>5</v>
      </c>
      <c r="W6">
        <v>5</v>
      </c>
      <c r="X6">
        <v>9</v>
      </c>
      <c r="Y6">
        <v>7</v>
      </c>
      <c r="Z6">
        <v>2</v>
      </c>
      <c r="AA6">
        <v>0</v>
      </c>
      <c r="AB6">
        <v>0</v>
      </c>
      <c r="AE6" t="s">
        <v>12</v>
      </c>
      <c r="AF6" t="s">
        <v>56</v>
      </c>
      <c r="AG6">
        <f t="shared" ref="AG6:AG69" si="1">SUM(D6,R6)</f>
        <v>71</v>
      </c>
      <c r="AH6" s="2">
        <f t="shared" ref="AH6:AH69" si="2">SUM(AK6/AG6)</f>
        <v>0.38028169014084506</v>
      </c>
      <c r="AI6" s="2">
        <f t="shared" ref="AI6:AI69" si="3">SUM(AM6/AN6)</f>
        <v>0.74576271186440679</v>
      </c>
      <c r="AK6">
        <f t="shared" ref="AK6:AK69" si="4">SUM(H6,V6)</f>
        <v>27</v>
      </c>
      <c r="AL6">
        <f t="shared" ref="AL6:AL69" si="5">SUM(I6,W6)</f>
        <v>44</v>
      </c>
      <c r="AM6">
        <f t="shared" ref="AM6:AM69" si="6">SUM(J6,X6)</f>
        <v>44</v>
      </c>
      <c r="AN6">
        <f t="shared" ref="AN6:AN69" si="7">SUM(K6,Y6)</f>
        <v>59</v>
      </c>
      <c r="AO6">
        <f t="shared" ref="AO6:AO69" si="8">SUM(L6,Z6)</f>
        <v>14</v>
      </c>
      <c r="AP6">
        <f t="shared" ref="AP6:AP69" si="9">SUM(M6,AA6)</f>
        <v>0</v>
      </c>
      <c r="AQ6">
        <f t="shared" ref="AQ6:AQ69" si="10">SUM(N6,AB6)</f>
        <v>0</v>
      </c>
    </row>
    <row r="7" spans="2:43" x14ac:dyDescent="0.2">
      <c r="B7" t="s">
        <v>32</v>
      </c>
      <c r="C7" t="s">
        <v>70</v>
      </c>
      <c r="D7">
        <v>42</v>
      </c>
      <c r="E7" s="2">
        <v>0.66700000000000004</v>
      </c>
      <c r="F7">
        <v>0.77</v>
      </c>
      <c r="G7" s="2">
        <v>0.48099999999999998</v>
      </c>
      <c r="H7">
        <v>28</v>
      </c>
      <c r="I7">
        <v>14</v>
      </c>
      <c r="J7">
        <v>27</v>
      </c>
      <c r="K7">
        <v>35</v>
      </c>
      <c r="L7">
        <v>18</v>
      </c>
      <c r="M7">
        <v>0</v>
      </c>
      <c r="N7">
        <v>0</v>
      </c>
      <c r="P7" t="s">
        <v>32</v>
      </c>
      <c r="Q7" t="s">
        <v>70</v>
      </c>
      <c r="R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E7" t="s">
        <v>32</v>
      </c>
      <c r="AF7" t="s">
        <v>70</v>
      </c>
      <c r="AG7">
        <f t="shared" si="1"/>
        <v>42</v>
      </c>
      <c r="AH7" s="2">
        <f t="shared" si="2"/>
        <v>0.66666666666666663</v>
      </c>
      <c r="AI7" s="2">
        <f t="shared" si="3"/>
        <v>0.77142857142857146</v>
      </c>
      <c r="AK7">
        <f t="shared" si="4"/>
        <v>28</v>
      </c>
      <c r="AL7">
        <f t="shared" si="5"/>
        <v>14</v>
      </c>
      <c r="AM7">
        <f t="shared" si="6"/>
        <v>27</v>
      </c>
      <c r="AN7">
        <f t="shared" si="7"/>
        <v>35</v>
      </c>
      <c r="AO7">
        <f t="shared" si="8"/>
        <v>18</v>
      </c>
      <c r="AP7">
        <f t="shared" si="9"/>
        <v>0</v>
      </c>
      <c r="AQ7">
        <f t="shared" si="10"/>
        <v>0</v>
      </c>
    </row>
    <row r="8" spans="2:43" x14ac:dyDescent="0.2">
      <c r="B8" t="s">
        <v>12</v>
      </c>
      <c r="C8" t="s">
        <v>14</v>
      </c>
      <c r="D8">
        <v>298</v>
      </c>
      <c r="E8" s="2">
        <v>0.56000000000000005</v>
      </c>
      <c r="F8">
        <v>1.19</v>
      </c>
      <c r="G8" s="2">
        <v>0.27</v>
      </c>
      <c r="H8">
        <v>167</v>
      </c>
      <c r="I8">
        <v>131</v>
      </c>
      <c r="J8">
        <v>222</v>
      </c>
      <c r="K8">
        <v>186</v>
      </c>
      <c r="L8">
        <v>69</v>
      </c>
      <c r="M8">
        <v>0</v>
      </c>
      <c r="N8">
        <v>1</v>
      </c>
      <c r="P8" t="s">
        <v>12</v>
      </c>
      <c r="Q8" t="s">
        <v>14</v>
      </c>
      <c r="R8">
        <v>244</v>
      </c>
      <c r="S8" s="2">
        <v>0.57399999999999995</v>
      </c>
      <c r="T8">
        <v>1.56</v>
      </c>
      <c r="U8" s="2">
        <v>0.26600000000000001</v>
      </c>
      <c r="V8">
        <v>140</v>
      </c>
      <c r="W8">
        <v>104</v>
      </c>
      <c r="X8">
        <v>229</v>
      </c>
      <c r="Y8">
        <v>147</v>
      </c>
      <c r="Z8">
        <v>68</v>
      </c>
      <c r="AA8">
        <v>0</v>
      </c>
      <c r="AB8">
        <v>2</v>
      </c>
      <c r="AE8" t="s">
        <v>12</v>
      </c>
      <c r="AF8" t="s">
        <v>14</v>
      </c>
      <c r="AG8">
        <f t="shared" si="1"/>
        <v>542</v>
      </c>
      <c r="AH8" s="2">
        <f t="shared" si="2"/>
        <v>0.56642066420664205</v>
      </c>
      <c r="AI8" s="2">
        <f t="shared" si="3"/>
        <v>1.3543543543543544</v>
      </c>
      <c r="AK8">
        <f t="shared" si="4"/>
        <v>307</v>
      </c>
      <c r="AL8">
        <f t="shared" si="5"/>
        <v>235</v>
      </c>
      <c r="AM8">
        <f t="shared" si="6"/>
        <v>451</v>
      </c>
      <c r="AN8">
        <f t="shared" si="7"/>
        <v>333</v>
      </c>
      <c r="AO8">
        <f t="shared" si="8"/>
        <v>137</v>
      </c>
      <c r="AP8">
        <f t="shared" si="9"/>
        <v>0</v>
      </c>
      <c r="AQ8">
        <f t="shared" si="10"/>
        <v>3</v>
      </c>
    </row>
    <row r="9" spans="2:43" x14ac:dyDescent="0.2">
      <c r="B9" t="s">
        <v>32</v>
      </c>
      <c r="C9" t="s">
        <v>35</v>
      </c>
      <c r="D9">
        <v>517</v>
      </c>
      <c r="E9" s="2">
        <v>0.46400000000000002</v>
      </c>
      <c r="F9">
        <v>0.94</v>
      </c>
      <c r="G9" s="2">
        <v>0.57899999999999996</v>
      </c>
      <c r="H9">
        <v>240</v>
      </c>
      <c r="I9">
        <v>277</v>
      </c>
      <c r="J9">
        <v>342</v>
      </c>
      <c r="K9">
        <v>364</v>
      </c>
      <c r="L9">
        <v>110</v>
      </c>
      <c r="M9">
        <v>0</v>
      </c>
      <c r="N9">
        <v>4</v>
      </c>
      <c r="P9" t="s">
        <v>32</v>
      </c>
      <c r="Q9" t="s">
        <v>35</v>
      </c>
      <c r="R9">
        <v>496</v>
      </c>
      <c r="S9" s="2">
        <v>0.45600000000000002</v>
      </c>
      <c r="T9">
        <v>1.43</v>
      </c>
      <c r="U9" s="2">
        <v>0.57299999999999995</v>
      </c>
      <c r="V9">
        <v>226</v>
      </c>
      <c r="W9">
        <v>270</v>
      </c>
      <c r="X9">
        <v>496</v>
      </c>
      <c r="Y9">
        <v>346</v>
      </c>
      <c r="Z9">
        <v>116</v>
      </c>
      <c r="AA9">
        <v>1</v>
      </c>
      <c r="AB9">
        <v>1</v>
      </c>
      <c r="AE9" t="s">
        <v>32</v>
      </c>
      <c r="AF9" t="s">
        <v>35</v>
      </c>
      <c r="AG9">
        <f t="shared" si="1"/>
        <v>1013</v>
      </c>
      <c r="AH9" s="2">
        <f t="shared" si="2"/>
        <v>0.46001974333662388</v>
      </c>
      <c r="AI9" s="2">
        <f t="shared" si="3"/>
        <v>1.1802816901408451</v>
      </c>
      <c r="AK9">
        <f t="shared" si="4"/>
        <v>466</v>
      </c>
      <c r="AL9">
        <f t="shared" si="5"/>
        <v>547</v>
      </c>
      <c r="AM9">
        <f t="shared" si="6"/>
        <v>838</v>
      </c>
      <c r="AN9">
        <f t="shared" si="7"/>
        <v>710</v>
      </c>
      <c r="AO9">
        <f t="shared" si="8"/>
        <v>226</v>
      </c>
      <c r="AP9">
        <f t="shared" si="9"/>
        <v>1</v>
      </c>
      <c r="AQ9">
        <f t="shared" si="10"/>
        <v>5</v>
      </c>
    </row>
    <row r="10" spans="2:43" x14ac:dyDescent="0.2">
      <c r="B10" t="s">
        <v>12</v>
      </c>
      <c r="C10" t="s">
        <v>66</v>
      </c>
      <c r="D10">
        <v>3</v>
      </c>
      <c r="E10" s="2">
        <v>0.66700000000000004</v>
      </c>
      <c r="F10">
        <v>1.5</v>
      </c>
      <c r="G10" s="2">
        <v>0.66700000000000004</v>
      </c>
      <c r="H10">
        <v>2</v>
      </c>
      <c r="I10">
        <v>1</v>
      </c>
      <c r="J10">
        <v>3</v>
      </c>
      <c r="K10">
        <v>2</v>
      </c>
      <c r="L10">
        <v>0</v>
      </c>
      <c r="M10">
        <v>0</v>
      </c>
      <c r="N10">
        <v>0</v>
      </c>
      <c r="P10" t="s">
        <v>12</v>
      </c>
      <c r="Q10" t="s">
        <v>66</v>
      </c>
      <c r="R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E10" t="s">
        <v>12</v>
      </c>
      <c r="AF10" t="s">
        <v>66</v>
      </c>
      <c r="AG10">
        <f t="shared" si="1"/>
        <v>3</v>
      </c>
      <c r="AH10" s="2">
        <f t="shared" si="2"/>
        <v>0.66666666666666663</v>
      </c>
      <c r="AI10" s="2">
        <f t="shared" si="3"/>
        <v>1.5</v>
      </c>
      <c r="AK10">
        <f t="shared" si="4"/>
        <v>2</v>
      </c>
      <c r="AL10">
        <f t="shared" si="5"/>
        <v>1</v>
      </c>
      <c r="AM10">
        <f t="shared" si="6"/>
        <v>3</v>
      </c>
      <c r="AN10">
        <f t="shared" si="7"/>
        <v>2</v>
      </c>
      <c r="AO10">
        <f t="shared" si="8"/>
        <v>0</v>
      </c>
      <c r="AP10">
        <f t="shared" si="9"/>
        <v>0</v>
      </c>
      <c r="AQ10">
        <f t="shared" si="10"/>
        <v>0</v>
      </c>
    </row>
    <row r="11" spans="2:43" x14ac:dyDescent="0.2">
      <c r="B11" t="s">
        <v>12</v>
      </c>
      <c r="C11" t="s">
        <v>26</v>
      </c>
      <c r="D11">
        <v>46</v>
      </c>
      <c r="E11" s="2">
        <v>0.45700000000000002</v>
      </c>
      <c r="F11">
        <v>0.63</v>
      </c>
      <c r="G11" s="2">
        <v>0.63600000000000001</v>
      </c>
      <c r="H11">
        <v>21</v>
      </c>
      <c r="I11">
        <v>25</v>
      </c>
      <c r="J11">
        <v>22</v>
      </c>
      <c r="K11">
        <v>35</v>
      </c>
      <c r="L11">
        <v>8</v>
      </c>
      <c r="M11">
        <v>0</v>
      </c>
      <c r="N11">
        <v>0</v>
      </c>
      <c r="P11" t="s">
        <v>12</v>
      </c>
      <c r="Q11" t="s">
        <v>26</v>
      </c>
      <c r="R11">
        <v>28</v>
      </c>
      <c r="S11" s="2">
        <v>0.57099999999999995</v>
      </c>
      <c r="T11">
        <v>0.79</v>
      </c>
      <c r="U11" s="2">
        <v>0.66700000000000004</v>
      </c>
      <c r="V11">
        <v>16</v>
      </c>
      <c r="W11">
        <v>12</v>
      </c>
      <c r="X11">
        <v>15</v>
      </c>
      <c r="Y11">
        <v>19</v>
      </c>
      <c r="Z11">
        <v>13</v>
      </c>
      <c r="AA11">
        <v>0</v>
      </c>
      <c r="AB11">
        <v>0</v>
      </c>
      <c r="AE11" t="s">
        <v>12</v>
      </c>
      <c r="AF11" t="s">
        <v>26</v>
      </c>
      <c r="AG11">
        <f t="shared" si="1"/>
        <v>74</v>
      </c>
      <c r="AH11" s="2">
        <f t="shared" si="2"/>
        <v>0.5</v>
      </c>
      <c r="AI11" s="2">
        <f t="shared" si="3"/>
        <v>0.68518518518518523</v>
      </c>
      <c r="AK11">
        <f t="shared" si="4"/>
        <v>37</v>
      </c>
      <c r="AL11">
        <f t="shared" si="5"/>
        <v>37</v>
      </c>
      <c r="AM11">
        <f t="shared" si="6"/>
        <v>37</v>
      </c>
      <c r="AN11">
        <f t="shared" si="7"/>
        <v>54</v>
      </c>
      <c r="AO11">
        <f t="shared" si="8"/>
        <v>21</v>
      </c>
      <c r="AP11">
        <f t="shared" si="9"/>
        <v>0</v>
      </c>
      <c r="AQ11">
        <f t="shared" si="10"/>
        <v>0</v>
      </c>
    </row>
    <row r="12" spans="2:43" x14ac:dyDescent="0.2">
      <c r="B12" t="s">
        <v>32</v>
      </c>
      <c r="C12" t="s">
        <v>76</v>
      </c>
      <c r="D12">
        <v>1</v>
      </c>
      <c r="E12" s="2">
        <v>1</v>
      </c>
      <c r="F12">
        <v>0</v>
      </c>
      <c r="G12" s="2">
        <v>0</v>
      </c>
      <c r="H12">
        <v>1</v>
      </c>
      <c r="I12">
        <v>0</v>
      </c>
      <c r="J12">
        <v>0</v>
      </c>
      <c r="K12">
        <v>1</v>
      </c>
      <c r="L12">
        <v>0</v>
      </c>
      <c r="M12">
        <v>0</v>
      </c>
      <c r="N12">
        <v>0</v>
      </c>
      <c r="P12" t="s">
        <v>32</v>
      </c>
      <c r="Q12" t="s">
        <v>76</v>
      </c>
      <c r="R12">
        <v>2</v>
      </c>
      <c r="S12" s="2">
        <v>0.5</v>
      </c>
      <c r="T12">
        <v>1</v>
      </c>
      <c r="U12" s="2">
        <v>1</v>
      </c>
      <c r="V12">
        <v>1</v>
      </c>
      <c r="W12">
        <v>1</v>
      </c>
      <c r="X12">
        <v>1</v>
      </c>
      <c r="Y12">
        <v>1</v>
      </c>
      <c r="Z12">
        <v>0</v>
      </c>
      <c r="AA12">
        <v>0</v>
      </c>
      <c r="AB12">
        <v>0</v>
      </c>
      <c r="AE12" t="s">
        <v>32</v>
      </c>
      <c r="AF12" t="s">
        <v>76</v>
      </c>
      <c r="AG12">
        <f t="shared" si="1"/>
        <v>3</v>
      </c>
      <c r="AH12" s="2">
        <f t="shared" si="2"/>
        <v>0.66666666666666663</v>
      </c>
      <c r="AI12" s="2">
        <f t="shared" si="3"/>
        <v>0.5</v>
      </c>
      <c r="AK12">
        <f t="shared" si="4"/>
        <v>2</v>
      </c>
      <c r="AL12">
        <f t="shared" si="5"/>
        <v>1</v>
      </c>
      <c r="AM12">
        <f t="shared" si="6"/>
        <v>1</v>
      </c>
      <c r="AN12">
        <f t="shared" si="7"/>
        <v>2</v>
      </c>
      <c r="AO12">
        <f t="shared" si="8"/>
        <v>0</v>
      </c>
      <c r="AP12">
        <f t="shared" si="9"/>
        <v>0</v>
      </c>
      <c r="AQ12">
        <f t="shared" si="10"/>
        <v>0</v>
      </c>
    </row>
    <row r="13" spans="2:43" x14ac:dyDescent="0.2">
      <c r="B13" t="s">
        <v>32</v>
      </c>
      <c r="C13" t="s">
        <v>53</v>
      </c>
      <c r="D13">
        <v>8</v>
      </c>
      <c r="E13" s="2">
        <v>0.375</v>
      </c>
      <c r="F13">
        <v>0</v>
      </c>
      <c r="G13" s="2">
        <v>0</v>
      </c>
      <c r="H13">
        <v>3</v>
      </c>
      <c r="I13">
        <v>5</v>
      </c>
      <c r="J13">
        <v>0</v>
      </c>
      <c r="K13">
        <v>6</v>
      </c>
      <c r="L13">
        <v>0</v>
      </c>
      <c r="M13">
        <v>0</v>
      </c>
      <c r="N13">
        <v>0</v>
      </c>
      <c r="P13" t="s">
        <v>32</v>
      </c>
      <c r="Q13" t="s">
        <v>53</v>
      </c>
      <c r="R13">
        <v>3</v>
      </c>
      <c r="S13" s="2">
        <v>0.66700000000000004</v>
      </c>
      <c r="T13">
        <v>1</v>
      </c>
      <c r="U13" s="2">
        <v>0.5</v>
      </c>
      <c r="V13">
        <v>2</v>
      </c>
      <c r="W13">
        <v>1</v>
      </c>
      <c r="X13">
        <v>2</v>
      </c>
      <c r="Y13">
        <v>2</v>
      </c>
      <c r="Z13">
        <v>1</v>
      </c>
      <c r="AA13">
        <v>0</v>
      </c>
      <c r="AB13">
        <v>0</v>
      </c>
      <c r="AE13" t="s">
        <v>32</v>
      </c>
      <c r="AF13" t="s">
        <v>53</v>
      </c>
      <c r="AG13">
        <f t="shared" si="1"/>
        <v>11</v>
      </c>
      <c r="AH13" s="2">
        <f t="shared" si="2"/>
        <v>0.45454545454545453</v>
      </c>
      <c r="AI13" s="2">
        <f t="shared" si="3"/>
        <v>0.25</v>
      </c>
      <c r="AK13">
        <f t="shared" si="4"/>
        <v>5</v>
      </c>
      <c r="AL13">
        <f t="shared" si="5"/>
        <v>6</v>
      </c>
      <c r="AM13">
        <f t="shared" si="6"/>
        <v>2</v>
      </c>
      <c r="AN13">
        <f t="shared" si="7"/>
        <v>8</v>
      </c>
      <c r="AO13">
        <f t="shared" si="8"/>
        <v>1</v>
      </c>
      <c r="AP13">
        <f t="shared" si="9"/>
        <v>0</v>
      </c>
      <c r="AQ13">
        <f t="shared" si="10"/>
        <v>0</v>
      </c>
    </row>
    <row r="14" spans="2:43" x14ac:dyDescent="0.2">
      <c r="B14" t="s">
        <v>32</v>
      </c>
      <c r="C14" t="s">
        <v>40</v>
      </c>
      <c r="D14">
        <v>356</v>
      </c>
      <c r="E14" s="2">
        <v>0.497</v>
      </c>
      <c r="F14">
        <v>0.95</v>
      </c>
      <c r="G14" s="2">
        <v>0.41099999999999998</v>
      </c>
      <c r="H14">
        <v>177</v>
      </c>
      <c r="I14">
        <v>179</v>
      </c>
      <c r="J14">
        <v>180</v>
      </c>
      <c r="K14">
        <v>190</v>
      </c>
      <c r="L14">
        <v>52</v>
      </c>
      <c r="M14">
        <v>0</v>
      </c>
      <c r="N14">
        <v>4</v>
      </c>
      <c r="P14" t="s">
        <v>32</v>
      </c>
      <c r="Q14" t="s">
        <v>40</v>
      </c>
      <c r="R14">
        <v>66</v>
      </c>
      <c r="S14" s="2">
        <v>0.47</v>
      </c>
      <c r="T14">
        <v>1.58</v>
      </c>
      <c r="U14" s="2">
        <v>0.46899999999999997</v>
      </c>
      <c r="V14">
        <v>31</v>
      </c>
      <c r="W14">
        <v>35</v>
      </c>
      <c r="X14">
        <v>49</v>
      </c>
      <c r="Y14">
        <v>31</v>
      </c>
      <c r="Z14">
        <v>15</v>
      </c>
      <c r="AA14">
        <v>0</v>
      </c>
      <c r="AB14">
        <v>0</v>
      </c>
      <c r="AE14" t="s">
        <v>32</v>
      </c>
      <c r="AF14" t="s">
        <v>40</v>
      </c>
      <c r="AG14">
        <f t="shared" si="1"/>
        <v>422</v>
      </c>
      <c r="AH14" s="2">
        <f t="shared" si="2"/>
        <v>0.49289099526066349</v>
      </c>
      <c r="AI14" s="2">
        <f t="shared" si="3"/>
        <v>1.0361990950226245</v>
      </c>
      <c r="AK14">
        <f t="shared" si="4"/>
        <v>208</v>
      </c>
      <c r="AL14">
        <f t="shared" si="5"/>
        <v>214</v>
      </c>
      <c r="AM14">
        <f t="shared" si="6"/>
        <v>229</v>
      </c>
      <c r="AN14">
        <f t="shared" si="7"/>
        <v>221</v>
      </c>
      <c r="AO14">
        <f t="shared" si="8"/>
        <v>67</v>
      </c>
      <c r="AP14">
        <f t="shared" si="9"/>
        <v>0</v>
      </c>
      <c r="AQ14">
        <f t="shared" si="10"/>
        <v>4</v>
      </c>
    </row>
    <row r="15" spans="2:43" x14ac:dyDescent="0.2">
      <c r="B15" t="s">
        <v>32</v>
      </c>
      <c r="C15" t="s">
        <v>33</v>
      </c>
      <c r="D15">
        <v>254</v>
      </c>
      <c r="E15" s="2">
        <v>0.42499999999999999</v>
      </c>
      <c r="F15">
        <v>0.77</v>
      </c>
      <c r="G15" s="2">
        <v>0.58299999999999996</v>
      </c>
      <c r="H15">
        <v>108</v>
      </c>
      <c r="I15">
        <v>146</v>
      </c>
      <c r="J15">
        <v>139</v>
      </c>
      <c r="K15">
        <v>181</v>
      </c>
      <c r="L15">
        <v>43</v>
      </c>
      <c r="M15">
        <v>0</v>
      </c>
      <c r="N15">
        <v>1</v>
      </c>
      <c r="P15" t="s">
        <v>32</v>
      </c>
      <c r="Q15" t="s">
        <v>33</v>
      </c>
      <c r="R15">
        <v>175</v>
      </c>
      <c r="S15" s="2">
        <v>0.497</v>
      </c>
      <c r="T15">
        <v>1.21</v>
      </c>
      <c r="U15" s="2">
        <v>0.59399999999999997</v>
      </c>
      <c r="V15">
        <v>87</v>
      </c>
      <c r="W15">
        <v>88</v>
      </c>
      <c r="X15">
        <v>133</v>
      </c>
      <c r="Y15">
        <v>110</v>
      </c>
      <c r="Z15">
        <v>39</v>
      </c>
      <c r="AA15">
        <v>0</v>
      </c>
      <c r="AB15">
        <v>0</v>
      </c>
      <c r="AE15" t="s">
        <v>32</v>
      </c>
      <c r="AF15" t="s">
        <v>33</v>
      </c>
      <c r="AG15">
        <f t="shared" si="1"/>
        <v>429</v>
      </c>
      <c r="AH15" s="2">
        <f t="shared" si="2"/>
        <v>0.45454545454545453</v>
      </c>
      <c r="AI15" s="2">
        <f t="shared" si="3"/>
        <v>0.93470790378006874</v>
      </c>
      <c r="AK15">
        <f t="shared" si="4"/>
        <v>195</v>
      </c>
      <c r="AL15">
        <f t="shared" si="5"/>
        <v>234</v>
      </c>
      <c r="AM15">
        <f t="shared" si="6"/>
        <v>272</v>
      </c>
      <c r="AN15">
        <f t="shared" si="7"/>
        <v>291</v>
      </c>
      <c r="AO15">
        <f t="shared" si="8"/>
        <v>82</v>
      </c>
      <c r="AP15">
        <f t="shared" si="9"/>
        <v>0</v>
      </c>
      <c r="AQ15">
        <f t="shared" si="10"/>
        <v>1</v>
      </c>
    </row>
    <row r="16" spans="2:43" x14ac:dyDescent="0.2">
      <c r="B16" t="s">
        <v>32</v>
      </c>
      <c r="C16" t="s">
        <v>47</v>
      </c>
      <c r="D16">
        <v>7</v>
      </c>
      <c r="E16" s="2">
        <v>0.42899999999999999</v>
      </c>
      <c r="F16">
        <v>0.2</v>
      </c>
      <c r="G16" s="2">
        <v>0</v>
      </c>
      <c r="H16">
        <v>3</v>
      </c>
      <c r="I16">
        <v>4</v>
      </c>
      <c r="J16">
        <v>1</v>
      </c>
      <c r="K16">
        <v>5</v>
      </c>
      <c r="L16">
        <v>2</v>
      </c>
      <c r="M16">
        <v>0</v>
      </c>
      <c r="N16">
        <v>0</v>
      </c>
      <c r="P16" t="s">
        <v>32</v>
      </c>
      <c r="Q16" t="s">
        <v>47</v>
      </c>
      <c r="R16">
        <v>7</v>
      </c>
      <c r="S16" s="2">
        <v>0.14299999999999999</v>
      </c>
      <c r="T16">
        <v>0.17</v>
      </c>
      <c r="U16" s="2">
        <v>0</v>
      </c>
      <c r="V16">
        <v>1</v>
      </c>
      <c r="W16">
        <v>6</v>
      </c>
      <c r="X16">
        <v>1</v>
      </c>
      <c r="Y16">
        <v>6</v>
      </c>
      <c r="Z16">
        <v>1</v>
      </c>
      <c r="AA16">
        <v>0</v>
      </c>
      <c r="AB16">
        <v>0</v>
      </c>
      <c r="AE16" t="s">
        <v>32</v>
      </c>
      <c r="AF16" t="s">
        <v>47</v>
      </c>
      <c r="AG16">
        <f t="shared" si="1"/>
        <v>14</v>
      </c>
      <c r="AH16" s="2">
        <f t="shared" si="2"/>
        <v>0.2857142857142857</v>
      </c>
      <c r="AI16" s="2">
        <f t="shared" si="3"/>
        <v>0.18181818181818182</v>
      </c>
      <c r="AK16">
        <f t="shared" si="4"/>
        <v>4</v>
      </c>
      <c r="AL16">
        <f t="shared" si="5"/>
        <v>10</v>
      </c>
      <c r="AM16">
        <f t="shared" si="6"/>
        <v>2</v>
      </c>
      <c r="AN16">
        <f t="shared" si="7"/>
        <v>11</v>
      </c>
      <c r="AO16">
        <f t="shared" si="8"/>
        <v>3</v>
      </c>
      <c r="AP16">
        <f t="shared" si="9"/>
        <v>0</v>
      </c>
      <c r="AQ16">
        <f t="shared" si="10"/>
        <v>0</v>
      </c>
    </row>
    <row r="17" spans="2:43" x14ac:dyDescent="0.2">
      <c r="B17" t="s">
        <v>12</v>
      </c>
      <c r="C17" t="s">
        <v>17</v>
      </c>
      <c r="D17">
        <v>69</v>
      </c>
      <c r="E17" s="2">
        <v>0.56499999999999995</v>
      </c>
      <c r="F17">
        <v>1.02</v>
      </c>
      <c r="G17" s="2">
        <v>0.318</v>
      </c>
      <c r="H17">
        <v>39</v>
      </c>
      <c r="I17">
        <v>30</v>
      </c>
      <c r="J17">
        <v>44</v>
      </c>
      <c r="K17">
        <v>43</v>
      </c>
      <c r="L17">
        <v>22</v>
      </c>
      <c r="M17">
        <v>0</v>
      </c>
      <c r="N17">
        <v>0</v>
      </c>
      <c r="P17" t="s">
        <v>12</v>
      </c>
      <c r="Q17" t="s">
        <v>17</v>
      </c>
      <c r="R17">
        <v>56</v>
      </c>
      <c r="S17" s="2">
        <v>0.55400000000000005</v>
      </c>
      <c r="T17">
        <v>1.03</v>
      </c>
      <c r="U17" s="2">
        <v>0.57099999999999995</v>
      </c>
      <c r="V17">
        <v>31</v>
      </c>
      <c r="W17">
        <v>25</v>
      </c>
      <c r="X17">
        <v>35</v>
      </c>
      <c r="Y17">
        <v>34</v>
      </c>
      <c r="Z17">
        <v>10</v>
      </c>
      <c r="AA17">
        <v>0</v>
      </c>
      <c r="AB17">
        <v>0</v>
      </c>
      <c r="AE17" t="s">
        <v>12</v>
      </c>
      <c r="AF17" t="s">
        <v>17</v>
      </c>
      <c r="AG17">
        <f t="shared" si="1"/>
        <v>125</v>
      </c>
      <c r="AH17" s="2">
        <f t="shared" si="2"/>
        <v>0.56000000000000005</v>
      </c>
      <c r="AI17" s="2">
        <f t="shared" si="3"/>
        <v>1.025974025974026</v>
      </c>
      <c r="AK17">
        <f t="shared" si="4"/>
        <v>70</v>
      </c>
      <c r="AL17">
        <f t="shared" si="5"/>
        <v>55</v>
      </c>
      <c r="AM17">
        <f t="shared" si="6"/>
        <v>79</v>
      </c>
      <c r="AN17">
        <f t="shared" si="7"/>
        <v>77</v>
      </c>
      <c r="AO17">
        <f t="shared" si="8"/>
        <v>32</v>
      </c>
      <c r="AP17">
        <f t="shared" si="9"/>
        <v>0</v>
      </c>
      <c r="AQ17">
        <f t="shared" si="10"/>
        <v>0</v>
      </c>
    </row>
    <row r="18" spans="2:43" x14ac:dyDescent="0.2">
      <c r="B18" t="s">
        <v>12</v>
      </c>
      <c r="C18" t="s">
        <v>28</v>
      </c>
      <c r="D18">
        <v>34</v>
      </c>
      <c r="E18" s="2">
        <v>0.55900000000000005</v>
      </c>
      <c r="F18">
        <v>0.89</v>
      </c>
      <c r="G18" s="2">
        <v>0.29199999999999998</v>
      </c>
      <c r="H18">
        <v>19</v>
      </c>
      <c r="I18">
        <v>15</v>
      </c>
      <c r="J18">
        <v>24</v>
      </c>
      <c r="K18">
        <v>27</v>
      </c>
      <c r="L18">
        <v>8</v>
      </c>
      <c r="M18">
        <v>0</v>
      </c>
      <c r="N18">
        <v>0</v>
      </c>
      <c r="P18" t="s">
        <v>12</v>
      </c>
      <c r="Q18" t="s">
        <v>28</v>
      </c>
      <c r="R18">
        <v>23</v>
      </c>
      <c r="S18" s="2">
        <v>0.47799999999999998</v>
      </c>
      <c r="T18">
        <v>0.83</v>
      </c>
      <c r="U18" s="2">
        <v>0.2</v>
      </c>
      <c r="V18">
        <v>11</v>
      </c>
      <c r="W18">
        <v>12</v>
      </c>
      <c r="X18">
        <v>15</v>
      </c>
      <c r="Y18">
        <v>18</v>
      </c>
      <c r="Z18">
        <v>6</v>
      </c>
      <c r="AA18">
        <v>0</v>
      </c>
      <c r="AB18">
        <v>0</v>
      </c>
      <c r="AE18" t="s">
        <v>12</v>
      </c>
      <c r="AF18" t="s">
        <v>28</v>
      </c>
      <c r="AG18">
        <f t="shared" si="1"/>
        <v>57</v>
      </c>
      <c r="AH18" s="2">
        <f t="shared" si="2"/>
        <v>0.52631578947368418</v>
      </c>
      <c r="AI18" s="2">
        <f t="shared" si="3"/>
        <v>0.8666666666666667</v>
      </c>
      <c r="AK18">
        <f t="shared" si="4"/>
        <v>30</v>
      </c>
      <c r="AL18">
        <f t="shared" si="5"/>
        <v>27</v>
      </c>
      <c r="AM18">
        <f t="shared" si="6"/>
        <v>39</v>
      </c>
      <c r="AN18">
        <f t="shared" si="7"/>
        <v>45</v>
      </c>
      <c r="AO18">
        <f t="shared" si="8"/>
        <v>14</v>
      </c>
      <c r="AP18">
        <f t="shared" si="9"/>
        <v>0</v>
      </c>
      <c r="AQ18">
        <f t="shared" si="10"/>
        <v>0</v>
      </c>
    </row>
    <row r="19" spans="2:43" x14ac:dyDescent="0.2">
      <c r="B19" t="s">
        <v>12</v>
      </c>
      <c r="C19" t="s">
        <v>67</v>
      </c>
      <c r="D19">
        <v>2</v>
      </c>
      <c r="E19" s="2">
        <v>0.5</v>
      </c>
      <c r="F19">
        <v>0</v>
      </c>
      <c r="G19" s="2">
        <v>0</v>
      </c>
      <c r="H19">
        <v>1</v>
      </c>
      <c r="I19">
        <v>1</v>
      </c>
      <c r="J19">
        <v>0</v>
      </c>
      <c r="K19">
        <v>1</v>
      </c>
      <c r="L19">
        <v>2</v>
      </c>
      <c r="M19">
        <v>0</v>
      </c>
      <c r="N19">
        <v>0</v>
      </c>
      <c r="P19" t="s">
        <v>12</v>
      </c>
      <c r="Q19" t="s">
        <v>67</v>
      </c>
      <c r="R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E19" t="s">
        <v>12</v>
      </c>
      <c r="AF19" t="s">
        <v>67</v>
      </c>
      <c r="AG19">
        <f t="shared" si="1"/>
        <v>2</v>
      </c>
      <c r="AH19" s="2">
        <f t="shared" si="2"/>
        <v>0.5</v>
      </c>
      <c r="AI19" s="2">
        <f t="shared" si="3"/>
        <v>0</v>
      </c>
      <c r="AK19">
        <f t="shared" si="4"/>
        <v>1</v>
      </c>
      <c r="AL19">
        <f t="shared" si="5"/>
        <v>1</v>
      </c>
      <c r="AM19">
        <f t="shared" si="6"/>
        <v>0</v>
      </c>
      <c r="AN19">
        <f t="shared" si="7"/>
        <v>1</v>
      </c>
      <c r="AO19">
        <f t="shared" si="8"/>
        <v>2</v>
      </c>
      <c r="AP19">
        <f t="shared" si="9"/>
        <v>0</v>
      </c>
      <c r="AQ19">
        <f t="shared" si="10"/>
        <v>0</v>
      </c>
    </row>
    <row r="20" spans="2:43" x14ac:dyDescent="0.2">
      <c r="B20" t="s">
        <v>32</v>
      </c>
      <c r="C20" t="s">
        <v>71</v>
      </c>
      <c r="D20">
        <v>12</v>
      </c>
      <c r="E20" s="2">
        <v>0.25</v>
      </c>
      <c r="F20">
        <v>0.18</v>
      </c>
      <c r="G20" s="2">
        <v>1</v>
      </c>
      <c r="H20">
        <v>3</v>
      </c>
      <c r="I20">
        <v>9</v>
      </c>
      <c r="J20">
        <v>2</v>
      </c>
      <c r="K20">
        <v>11</v>
      </c>
      <c r="L20">
        <v>3</v>
      </c>
      <c r="M20">
        <v>0</v>
      </c>
      <c r="N20">
        <v>0</v>
      </c>
      <c r="P20" t="s">
        <v>32</v>
      </c>
      <c r="Q20" t="s">
        <v>71</v>
      </c>
      <c r="R20">
        <v>4</v>
      </c>
      <c r="S20" s="2">
        <v>0.25</v>
      </c>
      <c r="T20">
        <v>0.25</v>
      </c>
      <c r="U20" s="2">
        <v>1</v>
      </c>
      <c r="V20">
        <v>1</v>
      </c>
      <c r="W20">
        <v>3</v>
      </c>
      <c r="X20">
        <v>1</v>
      </c>
      <c r="Y20">
        <v>4</v>
      </c>
      <c r="Z20">
        <v>2</v>
      </c>
      <c r="AA20">
        <v>0</v>
      </c>
      <c r="AB20">
        <v>0</v>
      </c>
      <c r="AE20" t="s">
        <v>32</v>
      </c>
      <c r="AF20" t="s">
        <v>71</v>
      </c>
      <c r="AG20">
        <f t="shared" si="1"/>
        <v>16</v>
      </c>
      <c r="AH20" s="2">
        <f t="shared" si="2"/>
        <v>0.25</v>
      </c>
      <c r="AI20" s="2">
        <f t="shared" si="3"/>
        <v>0.2</v>
      </c>
      <c r="AK20">
        <f t="shared" si="4"/>
        <v>4</v>
      </c>
      <c r="AL20">
        <f t="shared" si="5"/>
        <v>12</v>
      </c>
      <c r="AM20">
        <f t="shared" si="6"/>
        <v>3</v>
      </c>
      <c r="AN20">
        <f t="shared" si="7"/>
        <v>15</v>
      </c>
      <c r="AO20">
        <f t="shared" si="8"/>
        <v>5</v>
      </c>
      <c r="AP20">
        <f t="shared" si="9"/>
        <v>0</v>
      </c>
      <c r="AQ20">
        <f t="shared" si="10"/>
        <v>0</v>
      </c>
    </row>
    <row r="21" spans="2:43" x14ac:dyDescent="0.2">
      <c r="B21" t="s">
        <v>12</v>
      </c>
      <c r="C21" t="s">
        <v>79</v>
      </c>
      <c r="D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P21" t="s">
        <v>12</v>
      </c>
      <c r="Q21" t="s">
        <v>79</v>
      </c>
      <c r="R21">
        <v>10</v>
      </c>
      <c r="S21" s="2">
        <v>0.6</v>
      </c>
      <c r="T21">
        <v>0.56999999999999995</v>
      </c>
      <c r="U21" s="2">
        <v>0.5</v>
      </c>
      <c r="V21">
        <v>6</v>
      </c>
      <c r="W21">
        <v>4</v>
      </c>
      <c r="X21">
        <v>4</v>
      </c>
      <c r="Y21">
        <v>7</v>
      </c>
      <c r="Z21">
        <v>4</v>
      </c>
      <c r="AA21">
        <v>0</v>
      </c>
      <c r="AB21">
        <v>0</v>
      </c>
      <c r="AE21" t="s">
        <v>12</v>
      </c>
      <c r="AF21" t="s">
        <v>79</v>
      </c>
      <c r="AG21">
        <f t="shared" si="1"/>
        <v>10</v>
      </c>
      <c r="AH21" s="2">
        <f t="shared" si="2"/>
        <v>0.6</v>
      </c>
      <c r="AI21" s="2">
        <f t="shared" si="3"/>
        <v>0.5714285714285714</v>
      </c>
      <c r="AK21">
        <f t="shared" si="4"/>
        <v>6</v>
      </c>
      <c r="AL21">
        <f t="shared" si="5"/>
        <v>4</v>
      </c>
      <c r="AM21">
        <f t="shared" si="6"/>
        <v>4</v>
      </c>
      <c r="AN21">
        <f t="shared" si="7"/>
        <v>7</v>
      </c>
      <c r="AO21">
        <f t="shared" si="8"/>
        <v>4</v>
      </c>
      <c r="AP21">
        <f t="shared" si="9"/>
        <v>0</v>
      </c>
      <c r="AQ21">
        <f t="shared" si="10"/>
        <v>0</v>
      </c>
    </row>
    <row r="22" spans="2:43" x14ac:dyDescent="0.2">
      <c r="B22" t="s">
        <v>12</v>
      </c>
      <c r="C22" t="s">
        <v>21</v>
      </c>
      <c r="D22">
        <v>24</v>
      </c>
      <c r="E22" s="2">
        <v>0.41699999999999998</v>
      </c>
      <c r="F22">
        <v>0.79</v>
      </c>
      <c r="G22" s="2">
        <v>0.73299999999999998</v>
      </c>
      <c r="H22">
        <v>10</v>
      </c>
      <c r="I22">
        <v>14</v>
      </c>
      <c r="J22">
        <v>15</v>
      </c>
      <c r="K22">
        <v>19</v>
      </c>
      <c r="L22">
        <v>5</v>
      </c>
      <c r="M22">
        <v>0</v>
      </c>
      <c r="N22">
        <v>0</v>
      </c>
      <c r="P22" t="s">
        <v>12</v>
      </c>
      <c r="Q22" t="s">
        <v>21</v>
      </c>
      <c r="R22">
        <v>10</v>
      </c>
      <c r="S22" s="2">
        <v>0.5</v>
      </c>
      <c r="T22">
        <v>0.75</v>
      </c>
      <c r="U22" s="2">
        <v>0.33300000000000002</v>
      </c>
      <c r="V22">
        <v>5</v>
      </c>
      <c r="W22">
        <v>5</v>
      </c>
      <c r="X22">
        <v>6</v>
      </c>
      <c r="Y22">
        <v>8</v>
      </c>
      <c r="Z22">
        <v>3</v>
      </c>
      <c r="AA22">
        <v>0</v>
      </c>
      <c r="AB22">
        <v>0</v>
      </c>
      <c r="AE22" t="s">
        <v>12</v>
      </c>
      <c r="AF22" t="s">
        <v>21</v>
      </c>
      <c r="AG22">
        <f t="shared" si="1"/>
        <v>34</v>
      </c>
      <c r="AH22" s="2">
        <f t="shared" si="2"/>
        <v>0.44117647058823528</v>
      </c>
      <c r="AI22" s="2">
        <f t="shared" si="3"/>
        <v>0.77777777777777779</v>
      </c>
      <c r="AK22">
        <f t="shared" si="4"/>
        <v>15</v>
      </c>
      <c r="AL22">
        <f t="shared" si="5"/>
        <v>19</v>
      </c>
      <c r="AM22">
        <f t="shared" si="6"/>
        <v>21</v>
      </c>
      <c r="AN22">
        <f t="shared" si="7"/>
        <v>27</v>
      </c>
      <c r="AO22">
        <f t="shared" si="8"/>
        <v>8</v>
      </c>
      <c r="AP22">
        <f t="shared" si="9"/>
        <v>0</v>
      </c>
      <c r="AQ22">
        <f t="shared" si="10"/>
        <v>0</v>
      </c>
    </row>
    <row r="23" spans="2:43" x14ac:dyDescent="0.2">
      <c r="B23" t="s">
        <v>32</v>
      </c>
      <c r="C23" t="s">
        <v>39</v>
      </c>
      <c r="D23">
        <v>202</v>
      </c>
      <c r="E23" s="2">
        <v>0.44600000000000001</v>
      </c>
      <c r="F23">
        <v>0.71</v>
      </c>
      <c r="G23" s="2">
        <v>0.34300000000000003</v>
      </c>
      <c r="H23">
        <v>90</v>
      </c>
      <c r="I23">
        <v>112</v>
      </c>
      <c r="J23">
        <v>99</v>
      </c>
      <c r="K23">
        <v>139</v>
      </c>
      <c r="L23">
        <v>41</v>
      </c>
      <c r="M23">
        <v>0</v>
      </c>
      <c r="N23">
        <v>0</v>
      </c>
      <c r="P23" t="s">
        <v>32</v>
      </c>
      <c r="Q23" t="s">
        <v>39</v>
      </c>
      <c r="R23">
        <v>111</v>
      </c>
      <c r="S23" s="2">
        <v>0.432</v>
      </c>
      <c r="T23">
        <v>1.3</v>
      </c>
      <c r="U23" s="2">
        <v>0.30399999999999999</v>
      </c>
      <c r="V23">
        <v>48</v>
      </c>
      <c r="W23">
        <v>63</v>
      </c>
      <c r="X23">
        <v>92</v>
      </c>
      <c r="Y23">
        <v>71</v>
      </c>
      <c r="Z23">
        <v>35</v>
      </c>
      <c r="AA23">
        <v>0</v>
      </c>
      <c r="AB23">
        <v>1</v>
      </c>
      <c r="AE23" t="s">
        <v>32</v>
      </c>
      <c r="AF23" t="s">
        <v>39</v>
      </c>
      <c r="AG23">
        <f t="shared" si="1"/>
        <v>313</v>
      </c>
      <c r="AH23" s="2">
        <f t="shared" si="2"/>
        <v>0.44089456869009586</v>
      </c>
      <c r="AI23" s="2">
        <f t="shared" si="3"/>
        <v>0.90952380952380951</v>
      </c>
      <c r="AK23">
        <f t="shared" si="4"/>
        <v>138</v>
      </c>
      <c r="AL23">
        <f t="shared" si="5"/>
        <v>175</v>
      </c>
      <c r="AM23">
        <f t="shared" si="6"/>
        <v>191</v>
      </c>
      <c r="AN23">
        <f t="shared" si="7"/>
        <v>210</v>
      </c>
      <c r="AO23">
        <f t="shared" si="8"/>
        <v>76</v>
      </c>
      <c r="AP23">
        <f t="shared" si="9"/>
        <v>0</v>
      </c>
      <c r="AQ23">
        <f t="shared" si="10"/>
        <v>1</v>
      </c>
    </row>
    <row r="24" spans="2:43" x14ac:dyDescent="0.2">
      <c r="B24" t="s">
        <v>12</v>
      </c>
      <c r="C24" t="s">
        <v>16</v>
      </c>
      <c r="D24">
        <v>153</v>
      </c>
      <c r="E24" s="2">
        <v>0.60799999999999998</v>
      </c>
      <c r="F24">
        <v>0.64</v>
      </c>
      <c r="G24" s="2">
        <v>0.52</v>
      </c>
      <c r="H24">
        <v>93</v>
      </c>
      <c r="I24">
        <v>60</v>
      </c>
      <c r="J24">
        <v>50</v>
      </c>
      <c r="K24">
        <v>78</v>
      </c>
      <c r="L24">
        <v>12</v>
      </c>
      <c r="M24">
        <v>0</v>
      </c>
      <c r="N24">
        <v>0</v>
      </c>
      <c r="P24" t="s">
        <v>12</v>
      </c>
      <c r="Q24" t="s">
        <v>16</v>
      </c>
      <c r="R24">
        <v>58</v>
      </c>
      <c r="S24" s="2">
        <v>0.55200000000000005</v>
      </c>
      <c r="T24">
        <v>0.69</v>
      </c>
      <c r="U24" s="2">
        <v>0.44400000000000001</v>
      </c>
      <c r="V24">
        <v>32</v>
      </c>
      <c r="W24">
        <v>26</v>
      </c>
      <c r="X24">
        <v>18</v>
      </c>
      <c r="Y24">
        <v>26</v>
      </c>
      <c r="Z24">
        <v>3</v>
      </c>
      <c r="AA24">
        <v>0</v>
      </c>
      <c r="AB24">
        <v>0</v>
      </c>
      <c r="AE24" t="s">
        <v>12</v>
      </c>
      <c r="AF24" t="s">
        <v>16</v>
      </c>
      <c r="AG24">
        <f t="shared" si="1"/>
        <v>211</v>
      </c>
      <c r="AH24" s="2">
        <f t="shared" si="2"/>
        <v>0.59241706161137442</v>
      </c>
      <c r="AI24" s="2">
        <f t="shared" si="3"/>
        <v>0.65384615384615385</v>
      </c>
      <c r="AK24">
        <f t="shared" si="4"/>
        <v>125</v>
      </c>
      <c r="AL24">
        <f t="shared" si="5"/>
        <v>86</v>
      </c>
      <c r="AM24">
        <f t="shared" si="6"/>
        <v>68</v>
      </c>
      <c r="AN24">
        <f t="shared" si="7"/>
        <v>104</v>
      </c>
      <c r="AO24">
        <f t="shared" si="8"/>
        <v>15</v>
      </c>
      <c r="AP24">
        <f t="shared" si="9"/>
        <v>0</v>
      </c>
      <c r="AQ24">
        <f t="shared" si="10"/>
        <v>0</v>
      </c>
    </row>
    <row r="25" spans="2:43" x14ac:dyDescent="0.2">
      <c r="B25" t="s">
        <v>12</v>
      </c>
      <c r="C25" t="s">
        <v>58</v>
      </c>
      <c r="D25">
        <v>45</v>
      </c>
      <c r="E25" s="2">
        <v>0.6</v>
      </c>
      <c r="F25">
        <v>1</v>
      </c>
      <c r="G25" s="2">
        <v>0.185</v>
      </c>
      <c r="H25">
        <v>27</v>
      </c>
      <c r="I25">
        <v>18</v>
      </c>
      <c r="J25">
        <v>27</v>
      </c>
      <c r="K25">
        <v>27</v>
      </c>
      <c r="L25">
        <v>8</v>
      </c>
      <c r="M25">
        <v>0</v>
      </c>
      <c r="N25">
        <v>0</v>
      </c>
      <c r="P25" t="s">
        <v>12</v>
      </c>
      <c r="Q25" t="s">
        <v>58</v>
      </c>
      <c r="R25">
        <v>8</v>
      </c>
      <c r="S25" s="2">
        <v>0.875</v>
      </c>
      <c r="T25">
        <v>1.67</v>
      </c>
      <c r="U25" s="2">
        <v>0</v>
      </c>
      <c r="V25">
        <v>7</v>
      </c>
      <c r="W25">
        <v>1</v>
      </c>
      <c r="X25">
        <v>5</v>
      </c>
      <c r="Y25">
        <v>3</v>
      </c>
      <c r="Z25">
        <v>0</v>
      </c>
      <c r="AA25">
        <v>0</v>
      </c>
      <c r="AB25">
        <v>0</v>
      </c>
      <c r="AE25" t="s">
        <v>12</v>
      </c>
      <c r="AF25" t="s">
        <v>58</v>
      </c>
      <c r="AG25">
        <f t="shared" si="1"/>
        <v>53</v>
      </c>
      <c r="AH25" s="2">
        <f t="shared" si="2"/>
        <v>0.64150943396226412</v>
      </c>
      <c r="AI25" s="2">
        <f t="shared" si="3"/>
        <v>1.0666666666666667</v>
      </c>
      <c r="AK25">
        <f t="shared" si="4"/>
        <v>34</v>
      </c>
      <c r="AL25">
        <f t="shared" si="5"/>
        <v>19</v>
      </c>
      <c r="AM25">
        <f t="shared" si="6"/>
        <v>32</v>
      </c>
      <c r="AN25">
        <f t="shared" si="7"/>
        <v>30</v>
      </c>
      <c r="AO25">
        <f t="shared" si="8"/>
        <v>8</v>
      </c>
      <c r="AP25">
        <f t="shared" si="9"/>
        <v>0</v>
      </c>
      <c r="AQ25">
        <f t="shared" si="10"/>
        <v>0</v>
      </c>
    </row>
    <row r="26" spans="2:43" x14ac:dyDescent="0.2">
      <c r="B26" t="s">
        <v>12</v>
      </c>
      <c r="C26" t="s">
        <v>18</v>
      </c>
      <c r="D26">
        <v>85</v>
      </c>
      <c r="E26" s="2">
        <v>0.58799999999999997</v>
      </c>
      <c r="F26">
        <v>0.74</v>
      </c>
      <c r="G26" s="2">
        <v>0.6</v>
      </c>
      <c r="H26">
        <v>50</v>
      </c>
      <c r="I26">
        <v>35</v>
      </c>
      <c r="J26">
        <v>40</v>
      </c>
      <c r="K26">
        <v>54</v>
      </c>
      <c r="L26">
        <v>13</v>
      </c>
      <c r="M26">
        <v>0</v>
      </c>
      <c r="N26">
        <v>0</v>
      </c>
      <c r="P26" t="s">
        <v>12</v>
      </c>
      <c r="Q26" t="s">
        <v>18</v>
      </c>
      <c r="R26">
        <v>54</v>
      </c>
      <c r="S26" s="2">
        <v>0.64800000000000002</v>
      </c>
      <c r="T26">
        <v>1.55</v>
      </c>
      <c r="U26" s="2">
        <v>0.56200000000000006</v>
      </c>
      <c r="V26">
        <v>35</v>
      </c>
      <c r="W26">
        <v>19</v>
      </c>
      <c r="X26">
        <v>48</v>
      </c>
      <c r="Y26">
        <v>31</v>
      </c>
      <c r="Z26">
        <v>13</v>
      </c>
      <c r="AA26">
        <v>0</v>
      </c>
      <c r="AB26">
        <v>0</v>
      </c>
      <c r="AE26" t="s">
        <v>12</v>
      </c>
      <c r="AF26" t="s">
        <v>18</v>
      </c>
      <c r="AG26">
        <f t="shared" si="1"/>
        <v>139</v>
      </c>
      <c r="AH26" s="2">
        <f t="shared" si="2"/>
        <v>0.61151079136690645</v>
      </c>
      <c r="AI26" s="2">
        <f t="shared" si="3"/>
        <v>1.0352941176470589</v>
      </c>
      <c r="AK26">
        <f t="shared" si="4"/>
        <v>85</v>
      </c>
      <c r="AL26">
        <f t="shared" si="5"/>
        <v>54</v>
      </c>
      <c r="AM26">
        <f t="shared" si="6"/>
        <v>88</v>
      </c>
      <c r="AN26">
        <f t="shared" si="7"/>
        <v>85</v>
      </c>
      <c r="AO26">
        <f t="shared" si="8"/>
        <v>26</v>
      </c>
      <c r="AP26">
        <f t="shared" si="9"/>
        <v>0</v>
      </c>
      <c r="AQ26">
        <f t="shared" si="10"/>
        <v>0</v>
      </c>
    </row>
    <row r="27" spans="2:43" x14ac:dyDescent="0.2">
      <c r="B27" s="3" t="s">
        <v>32</v>
      </c>
      <c r="C27" s="3" t="s">
        <v>87</v>
      </c>
      <c r="D27" s="3">
        <v>0</v>
      </c>
      <c r="E27" s="3"/>
      <c r="F27" s="3"/>
      <c r="G27" s="3"/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P27" t="s">
        <v>32</v>
      </c>
      <c r="Q27" t="s">
        <v>87</v>
      </c>
      <c r="R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E27" t="s">
        <v>32</v>
      </c>
      <c r="AF27" t="s">
        <v>87</v>
      </c>
      <c r="AG27">
        <f t="shared" si="1"/>
        <v>0</v>
      </c>
      <c r="AH27" s="2"/>
      <c r="AI27" s="2"/>
      <c r="AK27">
        <f t="shared" si="4"/>
        <v>0</v>
      </c>
      <c r="AL27">
        <f t="shared" si="5"/>
        <v>0</v>
      </c>
      <c r="AM27">
        <f t="shared" si="6"/>
        <v>0</v>
      </c>
      <c r="AN27">
        <f t="shared" si="7"/>
        <v>0</v>
      </c>
      <c r="AO27">
        <f t="shared" si="8"/>
        <v>0</v>
      </c>
      <c r="AP27">
        <f t="shared" si="9"/>
        <v>0</v>
      </c>
      <c r="AQ27">
        <f t="shared" si="10"/>
        <v>0</v>
      </c>
    </row>
    <row r="28" spans="2:43" x14ac:dyDescent="0.2">
      <c r="B28" t="s">
        <v>12</v>
      </c>
      <c r="C28" t="s">
        <v>65</v>
      </c>
      <c r="D28">
        <v>3</v>
      </c>
      <c r="E28" s="2">
        <v>0.33300000000000002</v>
      </c>
      <c r="F28">
        <v>2</v>
      </c>
      <c r="G28" s="2">
        <v>0.25</v>
      </c>
      <c r="H28">
        <v>1</v>
      </c>
      <c r="I28">
        <v>2</v>
      </c>
      <c r="J28">
        <v>4</v>
      </c>
      <c r="K28">
        <v>2</v>
      </c>
      <c r="L28">
        <v>0</v>
      </c>
      <c r="M28">
        <v>0</v>
      </c>
      <c r="N28">
        <v>0</v>
      </c>
      <c r="P28" t="s">
        <v>12</v>
      </c>
      <c r="Q28" t="s">
        <v>65</v>
      </c>
      <c r="R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E28" t="s">
        <v>12</v>
      </c>
      <c r="AF28" t="s">
        <v>65</v>
      </c>
      <c r="AG28">
        <f t="shared" si="1"/>
        <v>3</v>
      </c>
      <c r="AH28" s="2">
        <f t="shared" si="2"/>
        <v>0.33333333333333331</v>
      </c>
      <c r="AI28" s="2">
        <f t="shared" si="3"/>
        <v>2</v>
      </c>
      <c r="AK28">
        <f t="shared" si="4"/>
        <v>1</v>
      </c>
      <c r="AL28">
        <f t="shared" si="5"/>
        <v>2</v>
      </c>
      <c r="AM28">
        <f t="shared" si="6"/>
        <v>4</v>
      </c>
      <c r="AN28">
        <f t="shared" si="7"/>
        <v>2</v>
      </c>
      <c r="AO28">
        <f t="shared" si="8"/>
        <v>0</v>
      </c>
      <c r="AP28">
        <f t="shared" si="9"/>
        <v>0</v>
      </c>
      <c r="AQ28">
        <f t="shared" si="10"/>
        <v>0</v>
      </c>
    </row>
    <row r="29" spans="2:43" x14ac:dyDescent="0.2">
      <c r="B29" t="s">
        <v>32</v>
      </c>
      <c r="C29" t="s">
        <v>45</v>
      </c>
      <c r="D29">
        <v>33</v>
      </c>
      <c r="E29" s="2">
        <v>0.42399999999999999</v>
      </c>
      <c r="F29">
        <v>0.8</v>
      </c>
      <c r="G29" s="2">
        <v>0.375</v>
      </c>
      <c r="H29">
        <v>14</v>
      </c>
      <c r="I29">
        <v>19</v>
      </c>
      <c r="J29">
        <v>16</v>
      </c>
      <c r="K29">
        <v>20</v>
      </c>
      <c r="L29">
        <v>8</v>
      </c>
      <c r="M29">
        <v>0</v>
      </c>
      <c r="N29">
        <v>1</v>
      </c>
      <c r="P29" t="s">
        <v>32</v>
      </c>
      <c r="Q29" t="s">
        <v>45</v>
      </c>
      <c r="R29">
        <v>28</v>
      </c>
      <c r="S29" s="2">
        <v>0.46400000000000002</v>
      </c>
      <c r="T29">
        <v>1.41</v>
      </c>
      <c r="U29" s="2">
        <v>0.54200000000000004</v>
      </c>
      <c r="V29">
        <v>13</v>
      </c>
      <c r="W29">
        <v>15</v>
      </c>
      <c r="X29">
        <v>24</v>
      </c>
      <c r="Y29">
        <v>17</v>
      </c>
      <c r="Z29">
        <v>9</v>
      </c>
      <c r="AA29">
        <v>0</v>
      </c>
      <c r="AB29">
        <v>1</v>
      </c>
      <c r="AE29" t="s">
        <v>32</v>
      </c>
      <c r="AF29" t="s">
        <v>45</v>
      </c>
      <c r="AG29">
        <f t="shared" si="1"/>
        <v>61</v>
      </c>
      <c r="AH29" s="2">
        <f t="shared" si="2"/>
        <v>0.44262295081967212</v>
      </c>
      <c r="AI29" s="2">
        <f t="shared" si="3"/>
        <v>1.0810810810810811</v>
      </c>
      <c r="AK29">
        <f t="shared" si="4"/>
        <v>27</v>
      </c>
      <c r="AL29">
        <f t="shared" si="5"/>
        <v>34</v>
      </c>
      <c r="AM29">
        <f t="shared" si="6"/>
        <v>40</v>
      </c>
      <c r="AN29">
        <f t="shared" si="7"/>
        <v>37</v>
      </c>
      <c r="AO29">
        <f t="shared" si="8"/>
        <v>17</v>
      </c>
      <c r="AP29">
        <f t="shared" si="9"/>
        <v>0</v>
      </c>
      <c r="AQ29">
        <f t="shared" si="10"/>
        <v>2</v>
      </c>
    </row>
    <row r="30" spans="2:43" x14ac:dyDescent="0.2">
      <c r="B30" t="s">
        <v>32</v>
      </c>
      <c r="C30" t="s">
        <v>78</v>
      </c>
      <c r="D30">
        <v>1</v>
      </c>
      <c r="E30" s="2">
        <v>1</v>
      </c>
      <c r="F30">
        <v>0</v>
      </c>
      <c r="G30" s="2">
        <v>0</v>
      </c>
      <c r="H30">
        <v>1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P30" t="s">
        <v>32</v>
      </c>
      <c r="Q30" t="s">
        <v>78</v>
      </c>
      <c r="R30">
        <v>4</v>
      </c>
      <c r="S30" s="2">
        <v>0</v>
      </c>
      <c r="T30">
        <v>0.5</v>
      </c>
      <c r="U30" s="2">
        <v>0</v>
      </c>
      <c r="V30">
        <v>0</v>
      </c>
      <c r="W30">
        <v>4</v>
      </c>
      <c r="X30">
        <v>2</v>
      </c>
      <c r="Y30">
        <v>4</v>
      </c>
      <c r="Z30">
        <v>1</v>
      </c>
      <c r="AA30">
        <v>0</v>
      </c>
      <c r="AB30">
        <v>0</v>
      </c>
      <c r="AE30" t="s">
        <v>32</v>
      </c>
      <c r="AF30" t="s">
        <v>78</v>
      </c>
      <c r="AG30">
        <f t="shared" si="1"/>
        <v>5</v>
      </c>
      <c r="AH30" s="2">
        <f t="shared" si="2"/>
        <v>0.2</v>
      </c>
      <c r="AI30" s="2">
        <f t="shared" si="3"/>
        <v>0.4</v>
      </c>
      <c r="AK30">
        <f t="shared" si="4"/>
        <v>1</v>
      </c>
      <c r="AL30">
        <f t="shared" si="5"/>
        <v>4</v>
      </c>
      <c r="AM30">
        <f t="shared" si="6"/>
        <v>2</v>
      </c>
      <c r="AN30">
        <f t="shared" si="7"/>
        <v>5</v>
      </c>
      <c r="AO30">
        <f t="shared" si="8"/>
        <v>1</v>
      </c>
      <c r="AP30">
        <f t="shared" si="9"/>
        <v>0</v>
      </c>
      <c r="AQ30">
        <f t="shared" si="10"/>
        <v>0</v>
      </c>
    </row>
    <row r="31" spans="2:43" x14ac:dyDescent="0.2">
      <c r="B31" t="s">
        <v>12</v>
      </c>
      <c r="C31" t="s">
        <v>62</v>
      </c>
      <c r="D31">
        <v>10</v>
      </c>
      <c r="E31" s="2">
        <v>0.4</v>
      </c>
      <c r="F31">
        <v>0.83</v>
      </c>
      <c r="G31" s="2">
        <v>0.2</v>
      </c>
      <c r="H31">
        <v>4</v>
      </c>
      <c r="I31">
        <v>6</v>
      </c>
      <c r="J31">
        <v>5</v>
      </c>
      <c r="K31">
        <v>6</v>
      </c>
      <c r="L31">
        <v>3</v>
      </c>
      <c r="M31">
        <v>0</v>
      </c>
      <c r="N31">
        <v>0</v>
      </c>
      <c r="P31" t="s">
        <v>12</v>
      </c>
      <c r="Q31" t="s">
        <v>62</v>
      </c>
      <c r="R31">
        <v>8</v>
      </c>
      <c r="S31" s="2">
        <v>0.5</v>
      </c>
      <c r="T31">
        <v>0.86</v>
      </c>
      <c r="U31" s="2">
        <v>0.33300000000000002</v>
      </c>
      <c r="V31">
        <v>4</v>
      </c>
      <c r="W31">
        <v>4</v>
      </c>
      <c r="X31">
        <v>6</v>
      </c>
      <c r="Y31">
        <v>7</v>
      </c>
      <c r="Z31">
        <v>1</v>
      </c>
      <c r="AA31">
        <v>0</v>
      </c>
      <c r="AB31">
        <v>0</v>
      </c>
      <c r="AE31" t="s">
        <v>12</v>
      </c>
      <c r="AF31" t="s">
        <v>62</v>
      </c>
      <c r="AG31">
        <f t="shared" si="1"/>
        <v>18</v>
      </c>
      <c r="AH31" s="2">
        <f t="shared" si="2"/>
        <v>0.44444444444444442</v>
      </c>
      <c r="AI31" s="2">
        <f t="shared" si="3"/>
        <v>0.84615384615384615</v>
      </c>
      <c r="AK31">
        <f t="shared" si="4"/>
        <v>8</v>
      </c>
      <c r="AL31">
        <f t="shared" si="5"/>
        <v>10</v>
      </c>
      <c r="AM31">
        <f t="shared" si="6"/>
        <v>11</v>
      </c>
      <c r="AN31">
        <f t="shared" si="7"/>
        <v>13</v>
      </c>
      <c r="AO31">
        <f t="shared" si="8"/>
        <v>4</v>
      </c>
      <c r="AP31">
        <f t="shared" si="9"/>
        <v>0</v>
      </c>
      <c r="AQ31">
        <f t="shared" si="10"/>
        <v>0</v>
      </c>
    </row>
    <row r="32" spans="2:43" x14ac:dyDescent="0.2">
      <c r="B32" t="s">
        <v>32</v>
      </c>
      <c r="C32" t="s">
        <v>75</v>
      </c>
      <c r="D32">
        <v>2</v>
      </c>
      <c r="E32" s="2">
        <v>0</v>
      </c>
      <c r="F32">
        <v>0</v>
      </c>
      <c r="G32" s="2">
        <v>0</v>
      </c>
      <c r="H32">
        <v>0</v>
      </c>
      <c r="I32">
        <v>2</v>
      </c>
      <c r="J32">
        <v>0</v>
      </c>
      <c r="K32">
        <v>2</v>
      </c>
      <c r="L32">
        <v>2</v>
      </c>
      <c r="M32">
        <v>0</v>
      </c>
      <c r="N32">
        <v>0</v>
      </c>
      <c r="P32" t="s">
        <v>32</v>
      </c>
      <c r="Q32" t="s">
        <v>75</v>
      </c>
      <c r="R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E32" t="s">
        <v>32</v>
      </c>
      <c r="AF32" t="s">
        <v>75</v>
      </c>
      <c r="AG32">
        <f t="shared" si="1"/>
        <v>2</v>
      </c>
      <c r="AH32" s="2">
        <f t="shared" si="2"/>
        <v>0</v>
      </c>
      <c r="AI32" s="2">
        <f t="shared" si="3"/>
        <v>0</v>
      </c>
      <c r="AK32">
        <f t="shared" si="4"/>
        <v>0</v>
      </c>
      <c r="AL32">
        <f t="shared" si="5"/>
        <v>2</v>
      </c>
      <c r="AM32">
        <f t="shared" si="6"/>
        <v>0</v>
      </c>
      <c r="AN32">
        <f t="shared" si="7"/>
        <v>2</v>
      </c>
      <c r="AO32">
        <f t="shared" si="8"/>
        <v>2</v>
      </c>
      <c r="AP32">
        <f t="shared" si="9"/>
        <v>0</v>
      </c>
      <c r="AQ32">
        <f t="shared" si="10"/>
        <v>0</v>
      </c>
    </row>
    <row r="33" spans="2:43" x14ac:dyDescent="0.2">
      <c r="B33" t="s">
        <v>32</v>
      </c>
      <c r="C33" t="s">
        <v>55</v>
      </c>
      <c r="D33">
        <v>1</v>
      </c>
      <c r="E33" s="2">
        <v>1</v>
      </c>
      <c r="F33">
        <v>0</v>
      </c>
      <c r="G33" s="2">
        <v>0</v>
      </c>
      <c r="H33">
        <v>1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P33" t="s">
        <v>32</v>
      </c>
      <c r="Q33" t="s">
        <v>55</v>
      </c>
      <c r="R33">
        <v>1</v>
      </c>
      <c r="S33" s="2">
        <v>1</v>
      </c>
      <c r="T33">
        <v>0</v>
      </c>
      <c r="U33" s="2">
        <v>0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E33" t="s">
        <v>32</v>
      </c>
      <c r="AF33" t="s">
        <v>55</v>
      </c>
      <c r="AG33">
        <f t="shared" si="1"/>
        <v>2</v>
      </c>
      <c r="AH33" s="2">
        <f t="shared" si="2"/>
        <v>1</v>
      </c>
      <c r="AI33" s="2">
        <f t="shared" si="3"/>
        <v>0</v>
      </c>
      <c r="AK33">
        <f t="shared" si="4"/>
        <v>2</v>
      </c>
      <c r="AL33">
        <f t="shared" si="5"/>
        <v>0</v>
      </c>
      <c r="AM33">
        <f t="shared" si="6"/>
        <v>0</v>
      </c>
      <c r="AN33">
        <f t="shared" si="7"/>
        <v>2</v>
      </c>
      <c r="AO33">
        <f t="shared" si="8"/>
        <v>0</v>
      </c>
      <c r="AP33">
        <f t="shared" si="9"/>
        <v>0</v>
      </c>
      <c r="AQ33">
        <f t="shared" si="10"/>
        <v>0</v>
      </c>
    </row>
    <row r="34" spans="2:43" x14ac:dyDescent="0.2">
      <c r="B34" t="s">
        <v>32</v>
      </c>
      <c r="C34" t="s">
        <v>74</v>
      </c>
      <c r="D34">
        <v>4</v>
      </c>
      <c r="E34" s="2">
        <v>0.5</v>
      </c>
      <c r="F34">
        <v>1</v>
      </c>
      <c r="G34" s="2">
        <v>0.33300000000000002</v>
      </c>
      <c r="H34">
        <v>2</v>
      </c>
      <c r="I34">
        <v>2</v>
      </c>
      <c r="J34">
        <v>3</v>
      </c>
      <c r="K34">
        <v>3</v>
      </c>
      <c r="L34">
        <v>1</v>
      </c>
      <c r="M34">
        <v>0</v>
      </c>
      <c r="N34">
        <v>0</v>
      </c>
      <c r="P34" t="s">
        <v>32</v>
      </c>
      <c r="Q34" t="s">
        <v>74</v>
      </c>
      <c r="R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E34" t="s">
        <v>32</v>
      </c>
      <c r="AF34" t="s">
        <v>74</v>
      </c>
      <c r="AG34">
        <f t="shared" si="1"/>
        <v>4</v>
      </c>
      <c r="AH34" s="2">
        <f t="shared" si="2"/>
        <v>0.5</v>
      </c>
      <c r="AI34" s="2">
        <f t="shared" si="3"/>
        <v>1</v>
      </c>
      <c r="AK34">
        <f t="shared" si="4"/>
        <v>2</v>
      </c>
      <c r="AL34">
        <f t="shared" si="5"/>
        <v>2</v>
      </c>
      <c r="AM34">
        <f t="shared" si="6"/>
        <v>3</v>
      </c>
      <c r="AN34">
        <f t="shared" si="7"/>
        <v>3</v>
      </c>
      <c r="AO34">
        <f t="shared" si="8"/>
        <v>1</v>
      </c>
      <c r="AP34">
        <f t="shared" si="9"/>
        <v>0</v>
      </c>
      <c r="AQ34">
        <f t="shared" si="10"/>
        <v>0</v>
      </c>
    </row>
    <row r="35" spans="2:43" x14ac:dyDescent="0.2">
      <c r="B35" t="s">
        <v>32</v>
      </c>
      <c r="C35" t="s">
        <v>52</v>
      </c>
      <c r="D35">
        <v>8</v>
      </c>
      <c r="E35" s="2">
        <v>0.25</v>
      </c>
      <c r="F35">
        <v>0.33</v>
      </c>
      <c r="G35" s="2">
        <v>0.5</v>
      </c>
      <c r="H35">
        <v>2</v>
      </c>
      <c r="I35">
        <v>6</v>
      </c>
      <c r="J35">
        <v>2</v>
      </c>
      <c r="K35">
        <v>6</v>
      </c>
      <c r="L35">
        <v>1</v>
      </c>
      <c r="M35">
        <v>0</v>
      </c>
      <c r="N35">
        <v>0</v>
      </c>
      <c r="P35" t="s">
        <v>32</v>
      </c>
      <c r="Q35" t="s">
        <v>52</v>
      </c>
      <c r="R35">
        <v>3</v>
      </c>
      <c r="S35" s="2">
        <v>0.33300000000000002</v>
      </c>
      <c r="T35">
        <v>1.5</v>
      </c>
      <c r="U35" s="2">
        <v>0.66700000000000004</v>
      </c>
      <c r="V35">
        <v>1</v>
      </c>
      <c r="W35">
        <v>2</v>
      </c>
      <c r="X35">
        <v>3</v>
      </c>
      <c r="Y35">
        <v>2</v>
      </c>
      <c r="Z35">
        <v>0</v>
      </c>
      <c r="AA35">
        <v>0</v>
      </c>
      <c r="AB35">
        <v>0</v>
      </c>
      <c r="AE35" t="s">
        <v>32</v>
      </c>
      <c r="AF35" t="s">
        <v>52</v>
      </c>
      <c r="AG35">
        <f t="shared" si="1"/>
        <v>11</v>
      </c>
      <c r="AH35" s="2">
        <f t="shared" si="2"/>
        <v>0.27272727272727271</v>
      </c>
      <c r="AI35" s="2">
        <f t="shared" si="3"/>
        <v>0.625</v>
      </c>
      <c r="AK35">
        <f t="shared" si="4"/>
        <v>3</v>
      </c>
      <c r="AL35">
        <f t="shared" si="5"/>
        <v>8</v>
      </c>
      <c r="AM35">
        <f t="shared" si="6"/>
        <v>5</v>
      </c>
      <c r="AN35">
        <f t="shared" si="7"/>
        <v>8</v>
      </c>
      <c r="AO35">
        <f t="shared" si="8"/>
        <v>1</v>
      </c>
      <c r="AP35">
        <f t="shared" si="9"/>
        <v>0</v>
      </c>
      <c r="AQ35">
        <f t="shared" si="10"/>
        <v>0</v>
      </c>
    </row>
    <row r="36" spans="2:43" x14ac:dyDescent="0.2">
      <c r="B36" t="s">
        <v>32</v>
      </c>
      <c r="C36" t="s">
        <v>51</v>
      </c>
      <c r="D36">
        <v>42</v>
      </c>
      <c r="E36" s="2">
        <v>0.40500000000000003</v>
      </c>
      <c r="F36">
        <v>0.47</v>
      </c>
      <c r="G36" s="2">
        <v>0.4</v>
      </c>
      <c r="H36">
        <v>17</v>
      </c>
      <c r="I36">
        <v>25</v>
      </c>
      <c r="J36">
        <v>15</v>
      </c>
      <c r="K36">
        <v>32</v>
      </c>
      <c r="L36">
        <v>5</v>
      </c>
      <c r="M36">
        <v>0</v>
      </c>
      <c r="N36">
        <v>0</v>
      </c>
      <c r="P36" t="s">
        <v>32</v>
      </c>
      <c r="Q36" t="s">
        <v>51</v>
      </c>
      <c r="R36">
        <v>19</v>
      </c>
      <c r="S36" s="2">
        <v>0.47399999999999998</v>
      </c>
      <c r="T36">
        <v>2</v>
      </c>
      <c r="U36" s="2">
        <v>0.5</v>
      </c>
      <c r="V36">
        <v>9</v>
      </c>
      <c r="W36">
        <v>10</v>
      </c>
      <c r="X36">
        <v>22</v>
      </c>
      <c r="Y36">
        <v>11</v>
      </c>
      <c r="Z36">
        <v>2</v>
      </c>
      <c r="AA36">
        <v>0</v>
      </c>
      <c r="AB36">
        <v>1</v>
      </c>
      <c r="AE36" t="s">
        <v>32</v>
      </c>
      <c r="AF36" t="s">
        <v>51</v>
      </c>
      <c r="AG36">
        <f t="shared" si="1"/>
        <v>61</v>
      </c>
      <c r="AH36" s="2">
        <f t="shared" si="2"/>
        <v>0.42622950819672129</v>
      </c>
      <c r="AI36" s="2">
        <f t="shared" si="3"/>
        <v>0.86046511627906974</v>
      </c>
      <c r="AK36">
        <f t="shared" si="4"/>
        <v>26</v>
      </c>
      <c r="AL36">
        <f t="shared" si="5"/>
        <v>35</v>
      </c>
      <c r="AM36">
        <f t="shared" si="6"/>
        <v>37</v>
      </c>
      <c r="AN36">
        <f t="shared" si="7"/>
        <v>43</v>
      </c>
      <c r="AO36">
        <f t="shared" si="8"/>
        <v>7</v>
      </c>
      <c r="AP36">
        <f t="shared" si="9"/>
        <v>0</v>
      </c>
      <c r="AQ36">
        <f t="shared" si="10"/>
        <v>1</v>
      </c>
    </row>
    <row r="37" spans="2:43" x14ac:dyDescent="0.2">
      <c r="B37" t="s">
        <v>12</v>
      </c>
      <c r="C37" t="s">
        <v>31</v>
      </c>
      <c r="D37">
        <v>2</v>
      </c>
      <c r="E37" s="2">
        <v>0.5</v>
      </c>
      <c r="F37">
        <v>0</v>
      </c>
      <c r="G37" s="2">
        <v>0</v>
      </c>
      <c r="H37">
        <v>1</v>
      </c>
      <c r="I37">
        <v>1</v>
      </c>
      <c r="J37">
        <v>0</v>
      </c>
      <c r="K37">
        <v>2</v>
      </c>
      <c r="L37">
        <v>1</v>
      </c>
      <c r="M37">
        <v>0</v>
      </c>
      <c r="N37">
        <v>0</v>
      </c>
      <c r="P37" t="s">
        <v>12</v>
      </c>
      <c r="Q37" t="s">
        <v>31</v>
      </c>
      <c r="R37">
        <v>4</v>
      </c>
      <c r="S37" s="2">
        <v>0</v>
      </c>
      <c r="T37">
        <v>0.25</v>
      </c>
      <c r="U37" s="2">
        <v>1</v>
      </c>
      <c r="V37">
        <v>0</v>
      </c>
      <c r="W37">
        <v>4</v>
      </c>
      <c r="X37">
        <v>1</v>
      </c>
      <c r="Y37">
        <v>4</v>
      </c>
      <c r="Z37">
        <v>0</v>
      </c>
      <c r="AA37">
        <v>0</v>
      </c>
      <c r="AB37">
        <v>0</v>
      </c>
      <c r="AE37" t="s">
        <v>12</v>
      </c>
      <c r="AF37" t="s">
        <v>31</v>
      </c>
      <c r="AG37">
        <f t="shared" si="1"/>
        <v>6</v>
      </c>
      <c r="AH37" s="2">
        <f t="shared" si="2"/>
        <v>0.16666666666666666</v>
      </c>
      <c r="AI37" s="2">
        <f t="shared" si="3"/>
        <v>0.16666666666666666</v>
      </c>
      <c r="AK37">
        <f t="shared" si="4"/>
        <v>1</v>
      </c>
      <c r="AL37">
        <f t="shared" si="5"/>
        <v>5</v>
      </c>
      <c r="AM37">
        <f t="shared" si="6"/>
        <v>1</v>
      </c>
      <c r="AN37">
        <f t="shared" si="7"/>
        <v>6</v>
      </c>
      <c r="AO37">
        <f t="shared" si="8"/>
        <v>1</v>
      </c>
      <c r="AP37">
        <f t="shared" si="9"/>
        <v>0</v>
      </c>
      <c r="AQ37">
        <f t="shared" si="10"/>
        <v>0</v>
      </c>
    </row>
    <row r="38" spans="2:43" x14ac:dyDescent="0.2">
      <c r="B38" t="s">
        <v>12</v>
      </c>
      <c r="C38" t="s">
        <v>25</v>
      </c>
      <c r="D38">
        <v>30</v>
      </c>
      <c r="E38" s="2">
        <v>0.46700000000000003</v>
      </c>
      <c r="F38">
        <v>0.55000000000000004</v>
      </c>
      <c r="G38" s="2">
        <v>0.33300000000000002</v>
      </c>
      <c r="H38">
        <v>14</v>
      </c>
      <c r="I38">
        <v>16</v>
      </c>
      <c r="J38">
        <v>12</v>
      </c>
      <c r="K38">
        <v>22</v>
      </c>
      <c r="L38">
        <v>11</v>
      </c>
      <c r="M38">
        <v>0</v>
      </c>
      <c r="N38">
        <v>1</v>
      </c>
      <c r="P38" t="s">
        <v>12</v>
      </c>
      <c r="Q38" t="s">
        <v>25</v>
      </c>
      <c r="R38">
        <v>64</v>
      </c>
      <c r="S38" s="2">
        <v>0.56200000000000006</v>
      </c>
      <c r="T38">
        <v>1.37</v>
      </c>
      <c r="U38" s="2">
        <v>0.25</v>
      </c>
      <c r="V38">
        <v>36</v>
      </c>
      <c r="W38">
        <v>28</v>
      </c>
      <c r="X38">
        <v>52</v>
      </c>
      <c r="Y38">
        <v>38</v>
      </c>
      <c r="Z38">
        <v>11</v>
      </c>
      <c r="AA38">
        <v>0</v>
      </c>
      <c r="AB38">
        <v>0</v>
      </c>
      <c r="AE38" t="s">
        <v>12</v>
      </c>
      <c r="AF38" t="s">
        <v>25</v>
      </c>
      <c r="AG38">
        <f t="shared" si="1"/>
        <v>94</v>
      </c>
      <c r="AH38" s="2">
        <f t="shared" si="2"/>
        <v>0.53191489361702127</v>
      </c>
      <c r="AI38" s="2">
        <f t="shared" si="3"/>
        <v>1.0666666666666667</v>
      </c>
      <c r="AK38">
        <f t="shared" si="4"/>
        <v>50</v>
      </c>
      <c r="AL38">
        <f t="shared" si="5"/>
        <v>44</v>
      </c>
      <c r="AM38">
        <f t="shared" si="6"/>
        <v>64</v>
      </c>
      <c r="AN38">
        <f t="shared" si="7"/>
        <v>60</v>
      </c>
      <c r="AO38">
        <f t="shared" si="8"/>
        <v>22</v>
      </c>
      <c r="AP38">
        <f t="shared" si="9"/>
        <v>0</v>
      </c>
      <c r="AQ38">
        <f t="shared" si="10"/>
        <v>1</v>
      </c>
    </row>
    <row r="39" spans="2:43" x14ac:dyDescent="0.2">
      <c r="B39" t="s">
        <v>32</v>
      </c>
      <c r="C39" t="s">
        <v>72</v>
      </c>
      <c r="D39">
        <v>11</v>
      </c>
      <c r="E39" s="2">
        <v>0.63600000000000001</v>
      </c>
      <c r="F39">
        <v>0.38</v>
      </c>
      <c r="G39" s="2">
        <v>0.33300000000000002</v>
      </c>
      <c r="H39">
        <v>7</v>
      </c>
      <c r="I39">
        <v>4</v>
      </c>
      <c r="J39">
        <v>3</v>
      </c>
      <c r="K39">
        <v>8</v>
      </c>
      <c r="L39">
        <v>1</v>
      </c>
      <c r="M39">
        <v>0</v>
      </c>
      <c r="N39">
        <v>0</v>
      </c>
      <c r="P39" t="s">
        <v>32</v>
      </c>
      <c r="Q39" t="s">
        <v>72</v>
      </c>
      <c r="R39">
        <v>1</v>
      </c>
      <c r="S39" s="2">
        <v>0</v>
      </c>
      <c r="T39">
        <v>0</v>
      </c>
      <c r="U39" s="2">
        <v>0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E39" t="s">
        <v>32</v>
      </c>
      <c r="AF39" t="s">
        <v>72</v>
      </c>
      <c r="AG39">
        <f t="shared" si="1"/>
        <v>12</v>
      </c>
      <c r="AH39" s="2">
        <f t="shared" si="2"/>
        <v>0.58333333333333337</v>
      </c>
      <c r="AI39" s="2">
        <f t="shared" si="3"/>
        <v>0.33333333333333331</v>
      </c>
      <c r="AK39">
        <f t="shared" si="4"/>
        <v>7</v>
      </c>
      <c r="AL39">
        <f t="shared" si="5"/>
        <v>5</v>
      </c>
      <c r="AM39">
        <f t="shared" si="6"/>
        <v>3</v>
      </c>
      <c r="AN39">
        <f t="shared" si="7"/>
        <v>9</v>
      </c>
      <c r="AO39">
        <f t="shared" si="8"/>
        <v>1</v>
      </c>
      <c r="AP39">
        <f t="shared" si="9"/>
        <v>0</v>
      </c>
      <c r="AQ39">
        <f t="shared" si="10"/>
        <v>0</v>
      </c>
    </row>
    <row r="40" spans="2:43" x14ac:dyDescent="0.2">
      <c r="B40" t="s">
        <v>12</v>
      </c>
      <c r="C40" t="s">
        <v>13</v>
      </c>
      <c r="D40" s="1">
        <v>1135</v>
      </c>
      <c r="E40" s="2">
        <v>0.58599999999999997</v>
      </c>
      <c r="F40">
        <v>1.28</v>
      </c>
      <c r="G40" s="2">
        <v>0.28100000000000003</v>
      </c>
      <c r="H40">
        <v>665</v>
      </c>
      <c r="I40">
        <v>470</v>
      </c>
      <c r="J40">
        <v>932</v>
      </c>
      <c r="K40">
        <v>727</v>
      </c>
      <c r="L40">
        <v>518</v>
      </c>
      <c r="M40">
        <v>1</v>
      </c>
      <c r="N40">
        <v>5</v>
      </c>
      <c r="P40" t="s">
        <v>12</v>
      </c>
      <c r="Q40" t="s">
        <v>13</v>
      </c>
      <c r="R40">
        <v>708</v>
      </c>
      <c r="S40" s="2">
        <v>0.61899999999999999</v>
      </c>
      <c r="T40">
        <v>1.6</v>
      </c>
      <c r="U40" s="2">
        <v>0.30299999999999999</v>
      </c>
      <c r="V40">
        <v>438</v>
      </c>
      <c r="W40">
        <v>270</v>
      </c>
      <c r="X40">
        <v>696</v>
      </c>
      <c r="Y40">
        <v>435</v>
      </c>
      <c r="Z40">
        <v>346</v>
      </c>
      <c r="AA40">
        <v>3</v>
      </c>
      <c r="AB40">
        <v>3</v>
      </c>
      <c r="AE40" t="s">
        <v>12</v>
      </c>
      <c r="AF40" t="s">
        <v>13</v>
      </c>
      <c r="AG40">
        <f t="shared" si="1"/>
        <v>1843</v>
      </c>
      <c r="AH40" s="2">
        <f t="shared" si="2"/>
        <v>0.59848073792729251</v>
      </c>
      <c r="AI40" s="2">
        <f t="shared" si="3"/>
        <v>1.4010327022375215</v>
      </c>
      <c r="AK40">
        <f t="shared" si="4"/>
        <v>1103</v>
      </c>
      <c r="AL40">
        <f t="shared" si="5"/>
        <v>740</v>
      </c>
      <c r="AM40">
        <f t="shared" si="6"/>
        <v>1628</v>
      </c>
      <c r="AN40">
        <f t="shared" si="7"/>
        <v>1162</v>
      </c>
      <c r="AO40">
        <f t="shared" si="8"/>
        <v>864</v>
      </c>
      <c r="AP40">
        <f t="shared" si="9"/>
        <v>4</v>
      </c>
      <c r="AQ40">
        <f t="shared" si="10"/>
        <v>8</v>
      </c>
    </row>
    <row r="41" spans="2:43" x14ac:dyDescent="0.2">
      <c r="B41" t="s">
        <v>12</v>
      </c>
      <c r="C41" t="s">
        <v>85</v>
      </c>
      <c r="D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 t="s">
        <v>12</v>
      </c>
      <c r="Q41" t="s">
        <v>85</v>
      </c>
      <c r="R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E41" t="s">
        <v>12</v>
      </c>
      <c r="AF41" t="s">
        <v>85</v>
      </c>
      <c r="AG41">
        <f t="shared" si="1"/>
        <v>0</v>
      </c>
      <c r="AH41" s="2"/>
      <c r="AI41" s="2"/>
      <c r="AK41">
        <f t="shared" si="4"/>
        <v>0</v>
      </c>
      <c r="AL41">
        <f t="shared" si="5"/>
        <v>0</v>
      </c>
      <c r="AM41">
        <f t="shared" si="6"/>
        <v>0</v>
      </c>
      <c r="AN41">
        <f t="shared" si="7"/>
        <v>0</v>
      </c>
      <c r="AO41">
        <f t="shared" si="8"/>
        <v>0</v>
      </c>
      <c r="AP41">
        <f t="shared" si="9"/>
        <v>0</v>
      </c>
      <c r="AQ41">
        <f t="shared" si="10"/>
        <v>0</v>
      </c>
    </row>
    <row r="42" spans="2:43" x14ac:dyDescent="0.2">
      <c r="B42" t="s">
        <v>32</v>
      </c>
      <c r="C42" t="s">
        <v>86</v>
      </c>
      <c r="D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 s="3" t="s">
        <v>32</v>
      </c>
      <c r="Q42" s="3" t="s">
        <v>86</v>
      </c>
      <c r="R42" s="3">
        <v>0</v>
      </c>
      <c r="S42" s="3"/>
      <c r="T42" s="3"/>
      <c r="U42" s="3"/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E42" t="s">
        <v>32</v>
      </c>
      <c r="AF42" t="s">
        <v>86</v>
      </c>
      <c r="AG42">
        <f t="shared" si="1"/>
        <v>0</v>
      </c>
      <c r="AH42" s="2"/>
      <c r="AI42" s="2"/>
      <c r="AK42">
        <f t="shared" si="4"/>
        <v>0</v>
      </c>
      <c r="AL42">
        <f t="shared" si="5"/>
        <v>0</v>
      </c>
      <c r="AM42">
        <f t="shared" si="6"/>
        <v>0</v>
      </c>
      <c r="AN42">
        <f t="shared" si="7"/>
        <v>0</v>
      </c>
      <c r="AO42">
        <f t="shared" si="8"/>
        <v>0</v>
      </c>
      <c r="AP42">
        <f t="shared" si="9"/>
        <v>0</v>
      </c>
      <c r="AQ42">
        <f t="shared" si="10"/>
        <v>0</v>
      </c>
    </row>
    <row r="43" spans="2:43" x14ac:dyDescent="0.2">
      <c r="B43" t="s">
        <v>12</v>
      </c>
      <c r="C43" t="s">
        <v>57</v>
      </c>
      <c r="D43">
        <v>51</v>
      </c>
      <c r="E43" s="2">
        <v>0.52900000000000003</v>
      </c>
      <c r="F43">
        <v>0.72</v>
      </c>
      <c r="G43" s="2">
        <v>0.34799999999999998</v>
      </c>
      <c r="H43">
        <v>27</v>
      </c>
      <c r="I43">
        <v>24</v>
      </c>
      <c r="J43">
        <v>23</v>
      </c>
      <c r="K43">
        <v>32</v>
      </c>
      <c r="L43">
        <v>14</v>
      </c>
      <c r="M43">
        <v>0</v>
      </c>
      <c r="N43">
        <v>0</v>
      </c>
      <c r="P43" t="s">
        <v>12</v>
      </c>
      <c r="Q43" t="s">
        <v>57</v>
      </c>
      <c r="R43">
        <v>9</v>
      </c>
      <c r="S43" s="2">
        <v>0.55600000000000005</v>
      </c>
      <c r="T43">
        <v>0.5</v>
      </c>
      <c r="U43" s="2">
        <v>0.33300000000000002</v>
      </c>
      <c r="V43">
        <v>5</v>
      </c>
      <c r="W43">
        <v>4</v>
      </c>
      <c r="X43">
        <v>3</v>
      </c>
      <c r="Y43">
        <v>6</v>
      </c>
      <c r="Z43">
        <v>4</v>
      </c>
      <c r="AA43">
        <v>0</v>
      </c>
      <c r="AB43">
        <v>0</v>
      </c>
      <c r="AE43" t="s">
        <v>12</v>
      </c>
      <c r="AF43" t="s">
        <v>57</v>
      </c>
      <c r="AG43">
        <f t="shared" si="1"/>
        <v>60</v>
      </c>
      <c r="AH43" s="2">
        <f t="shared" si="2"/>
        <v>0.53333333333333333</v>
      </c>
      <c r="AI43" s="2">
        <f t="shared" si="3"/>
        <v>0.68421052631578949</v>
      </c>
      <c r="AK43">
        <f t="shared" si="4"/>
        <v>32</v>
      </c>
      <c r="AL43">
        <f t="shared" si="5"/>
        <v>28</v>
      </c>
      <c r="AM43">
        <f t="shared" si="6"/>
        <v>26</v>
      </c>
      <c r="AN43">
        <f t="shared" si="7"/>
        <v>38</v>
      </c>
      <c r="AO43">
        <f t="shared" si="8"/>
        <v>18</v>
      </c>
      <c r="AP43">
        <f t="shared" si="9"/>
        <v>0</v>
      </c>
      <c r="AQ43">
        <f t="shared" si="10"/>
        <v>0</v>
      </c>
    </row>
    <row r="44" spans="2:43" x14ac:dyDescent="0.2">
      <c r="B44" t="s">
        <v>32</v>
      </c>
      <c r="C44" t="s">
        <v>36</v>
      </c>
      <c r="D44">
        <v>543</v>
      </c>
      <c r="E44" s="2">
        <v>0.45100000000000001</v>
      </c>
      <c r="F44">
        <v>0.96</v>
      </c>
      <c r="G44" s="2">
        <v>0.51700000000000002</v>
      </c>
      <c r="H44">
        <v>245</v>
      </c>
      <c r="I44">
        <v>298</v>
      </c>
      <c r="J44">
        <v>377</v>
      </c>
      <c r="K44">
        <v>394</v>
      </c>
      <c r="L44">
        <v>101</v>
      </c>
      <c r="M44">
        <v>2</v>
      </c>
      <c r="N44">
        <v>4</v>
      </c>
      <c r="P44" t="s">
        <v>32</v>
      </c>
      <c r="Q44" t="s">
        <v>36</v>
      </c>
      <c r="R44">
        <v>69</v>
      </c>
      <c r="S44" s="2">
        <v>0.42</v>
      </c>
      <c r="T44">
        <v>1.48</v>
      </c>
      <c r="U44" s="2">
        <v>0.371</v>
      </c>
      <c r="V44">
        <v>29</v>
      </c>
      <c r="W44">
        <v>40</v>
      </c>
      <c r="X44">
        <v>62</v>
      </c>
      <c r="Y44">
        <v>42</v>
      </c>
      <c r="Z44">
        <v>13</v>
      </c>
      <c r="AA44">
        <v>0</v>
      </c>
      <c r="AB44">
        <v>0</v>
      </c>
      <c r="AE44" t="s">
        <v>32</v>
      </c>
      <c r="AF44" t="s">
        <v>36</v>
      </c>
      <c r="AG44">
        <f t="shared" si="1"/>
        <v>612</v>
      </c>
      <c r="AH44" s="2">
        <f t="shared" si="2"/>
        <v>0.44771241830065361</v>
      </c>
      <c r="AI44" s="2">
        <f t="shared" si="3"/>
        <v>1.0068807339449541</v>
      </c>
      <c r="AK44">
        <f t="shared" si="4"/>
        <v>274</v>
      </c>
      <c r="AL44">
        <f t="shared" si="5"/>
        <v>338</v>
      </c>
      <c r="AM44">
        <f t="shared" si="6"/>
        <v>439</v>
      </c>
      <c r="AN44">
        <f t="shared" si="7"/>
        <v>436</v>
      </c>
      <c r="AO44">
        <f t="shared" si="8"/>
        <v>114</v>
      </c>
      <c r="AP44">
        <f t="shared" si="9"/>
        <v>2</v>
      </c>
      <c r="AQ44">
        <f t="shared" si="10"/>
        <v>4</v>
      </c>
    </row>
    <row r="45" spans="2:43" x14ac:dyDescent="0.2">
      <c r="B45" t="s">
        <v>12</v>
      </c>
      <c r="C45" t="s">
        <v>64</v>
      </c>
      <c r="D45">
        <v>5</v>
      </c>
      <c r="E45" s="2">
        <v>0.6</v>
      </c>
      <c r="F45">
        <v>1.25</v>
      </c>
      <c r="G45" s="2">
        <v>0.6</v>
      </c>
      <c r="H45">
        <v>3</v>
      </c>
      <c r="I45">
        <v>2</v>
      </c>
      <c r="J45">
        <v>5</v>
      </c>
      <c r="K45">
        <v>4</v>
      </c>
      <c r="L45">
        <v>2</v>
      </c>
      <c r="M45">
        <v>0</v>
      </c>
      <c r="N45">
        <v>0</v>
      </c>
      <c r="P45" t="s">
        <v>12</v>
      </c>
      <c r="Q45" t="s">
        <v>64</v>
      </c>
      <c r="R45">
        <v>1</v>
      </c>
      <c r="S45" s="2">
        <v>0</v>
      </c>
      <c r="T45">
        <v>1</v>
      </c>
      <c r="U45" s="2">
        <v>1</v>
      </c>
      <c r="V45">
        <v>0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E45" t="s">
        <v>12</v>
      </c>
      <c r="AF45" t="s">
        <v>64</v>
      </c>
      <c r="AG45">
        <f t="shared" si="1"/>
        <v>6</v>
      </c>
      <c r="AH45" s="2">
        <f t="shared" si="2"/>
        <v>0.5</v>
      </c>
      <c r="AI45" s="2">
        <f t="shared" si="3"/>
        <v>1.2</v>
      </c>
      <c r="AK45">
        <f t="shared" si="4"/>
        <v>3</v>
      </c>
      <c r="AL45">
        <f t="shared" si="5"/>
        <v>3</v>
      </c>
      <c r="AM45">
        <f t="shared" si="6"/>
        <v>6</v>
      </c>
      <c r="AN45">
        <f t="shared" si="7"/>
        <v>5</v>
      </c>
      <c r="AO45">
        <f t="shared" si="8"/>
        <v>2</v>
      </c>
      <c r="AP45">
        <f t="shared" si="9"/>
        <v>0</v>
      </c>
      <c r="AQ45">
        <f t="shared" si="10"/>
        <v>0</v>
      </c>
    </row>
    <row r="46" spans="2:43" x14ac:dyDescent="0.2">
      <c r="B46" t="s">
        <v>12</v>
      </c>
      <c r="C46" t="s">
        <v>30</v>
      </c>
      <c r="D46">
        <v>7</v>
      </c>
      <c r="E46" s="2">
        <v>0.57099999999999995</v>
      </c>
      <c r="F46">
        <v>0.17</v>
      </c>
      <c r="G46" s="2">
        <v>1</v>
      </c>
      <c r="H46">
        <v>4</v>
      </c>
      <c r="I46">
        <v>3</v>
      </c>
      <c r="J46">
        <v>1</v>
      </c>
      <c r="K46">
        <v>6</v>
      </c>
      <c r="L46">
        <v>1</v>
      </c>
      <c r="M46">
        <v>0</v>
      </c>
      <c r="N46">
        <v>0</v>
      </c>
      <c r="P46" t="s">
        <v>12</v>
      </c>
      <c r="Q46" t="s">
        <v>30</v>
      </c>
      <c r="R46">
        <v>2</v>
      </c>
      <c r="S46" s="2">
        <v>1</v>
      </c>
      <c r="T46">
        <v>1</v>
      </c>
      <c r="U46" s="2">
        <v>1</v>
      </c>
      <c r="V46">
        <v>2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E46" t="s">
        <v>12</v>
      </c>
      <c r="AF46" t="s">
        <v>30</v>
      </c>
      <c r="AG46">
        <f t="shared" si="1"/>
        <v>9</v>
      </c>
      <c r="AH46" s="2">
        <f t="shared" si="2"/>
        <v>0.66666666666666663</v>
      </c>
      <c r="AI46" s="2">
        <f t="shared" si="3"/>
        <v>0.33333333333333331</v>
      </c>
      <c r="AK46">
        <f t="shared" si="4"/>
        <v>6</v>
      </c>
      <c r="AL46">
        <f t="shared" si="5"/>
        <v>3</v>
      </c>
      <c r="AM46">
        <f t="shared" si="6"/>
        <v>2</v>
      </c>
      <c r="AN46">
        <f t="shared" si="7"/>
        <v>6</v>
      </c>
      <c r="AO46">
        <f t="shared" si="8"/>
        <v>1</v>
      </c>
      <c r="AP46">
        <f t="shared" si="9"/>
        <v>0</v>
      </c>
      <c r="AQ46">
        <f t="shared" si="10"/>
        <v>0</v>
      </c>
    </row>
    <row r="47" spans="2:43" x14ac:dyDescent="0.2">
      <c r="B47" t="s">
        <v>32</v>
      </c>
      <c r="C47" t="s">
        <v>77</v>
      </c>
      <c r="D47">
        <v>1</v>
      </c>
      <c r="E47" s="2">
        <v>1</v>
      </c>
      <c r="F47">
        <v>0</v>
      </c>
      <c r="G47" s="2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 t="s">
        <v>32</v>
      </c>
      <c r="Q47" t="s">
        <v>77</v>
      </c>
      <c r="R47">
        <v>1</v>
      </c>
      <c r="S47" s="2">
        <v>0</v>
      </c>
      <c r="T47">
        <v>1</v>
      </c>
      <c r="U47" s="2">
        <v>0</v>
      </c>
      <c r="V47">
        <v>0</v>
      </c>
      <c r="W47">
        <v>1</v>
      </c>
      <c r="X47">
        <v>1</v>
      </c>
      <c r="Y47">
        <v>1</v>
      </c>
      <c r="Z47">
        <v>1</v>
      </c>
      <c r="AA47">
        <v>0</v>
      </c>
      <c r="AB47">
        <v>0</v>
      </c>
      <c r="AE47" t="s">
        <v>32</v>
      </c>
      <c r="AF47" t="s">
        <v>77</v>
      </c>
      <c r="AG47">
        <f t="shared" si="1"/>
        <v>2</v>
      </c>
      <c r="AH47" s="2">
        <f t="shared" si="2"/>
        <v>0.5</v>
      </c>
      <c r="AI47" s="2">
        <f t="shared" si="3"/>
        <v>1</v>
      </c>
      <c r="AK47">
        <f t="shared" si="4"/>
        <v>1</v>
      </c>
      <c r="AL47">
        <f t="shared" si="5"/>
        <v>1</v>
      </c>
      <c r="AM47">
        <f t="shared" si="6"/>
        <v>1</v>
      </c>
      <c r="AN47">
        <f t="shared" si="7"/>
        <v>1</v>
      </c>
      <c r="AO47">
        <f t="shared" si="8"/>
        <v>1</v>
      </c>
      <c r="AP47">
        <f t="shared" si="9"/>
        <v>0</v>
      </c>
      <c r="AQ47">
        <f t="shared" si="10"/>
        <v>0</v>
      </c>
    </row>
    <row r="48" spans="2:43" x14ac:dyDescent="0.2">
      <c r="B48" t="s">
        <v>12</v>
      </c>
      <c r="C48" t="s">
        <v>88</v>
      </c>
      <c r="D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P48" t="s">
        <v>12</v>
      </c>
      <c r="Q48" t="s">
        <v>88</v>
      </c>
      <c r="R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E48" t="s">
        <v>12</v>
      </c>
      <c r="AF48" t="s">
        <v>88</v>
      </c>
      <c r="AG48">
        <f t="shared" si="1"/>
        <v>0</v>
      </c>
      <c r="AH48" s="2"/>
      <c r="AI48" s="2"/>
      <c r="AK48">
        <f t="shared" si="4"/>
        <v>0</v>
      </c>
      <c r="AL48">
        <f t="shared" si="5"/>
        <v>0</v>
      </c>
      <c r="AM48">
        <f t="shared" si="6"/>
        <v>0</v>
      </c>
      <c r="AN48">
        <f t="shared" si="7"/>
        <v>0</v>
      </c>
      <c r="AO48">
        <f t="shared" si="8"/>
        <v>0</v>
      </c>
      <c r="AP48">
        <f t="shared" si="9"/>
        <v>0</v>
      </c>
      <c r="AQ48">
        <f t="shared" si="10"/>
        <v>0</v>
      </c>
    </row>
    <row r="49" spans="2:43" x14ac:dyDescent="0.2">
      <c r="B49" t="s">
        <v>12</v>
      </c>
      <c r="C49" t="s">
        <v>63</v>
      </c>
      <c r="D49">
        <v>10</v>
      </c>
      <c r="E49" s="2">
        <v>0.3</v>
      </c>
      <c r="F49">
        <v>1.17</v>
      </c>
      <c r="G49" s="2">
        <v>0.42899999999999999</v>
      </c>
      <c r="H49">
        <v>3</v>
      </c>
      <c r="I49">
        <v>7</v>
      </c>
      <c r="J49">
        <v>7</v>
      </c>
      <c r="K49">
        <v>6</v>
      </c>
      <c r="L49">
        <v>1</v>
      </c>
      <c r="M49">
        <v>0</v>
      </c>
      <c r="N49">
        <v>0</v>
      </c>
      <c r="P49" t="s">
        <v>12</v>
      </c>
      <c r="Q49" t="s">
        <v>63</v>
      </c>
      <c r="R49">
        <v>5</v>
      </c>
      <c r="S49" s="2">
        <v>0.4</v>
      </c>
      <c r="T49">
        <v>2.33</v>
      </c>
      <c r="U49" s="2">
        <v>0.42899999999999999</v>
      </c>
      <c r="V49">
        <v>2</v>
      </c>
      <c r="W49">
        <v>3</v>
      </c>
      <c r="X49">
        <v>7</v>
      </c>
      <c r="Y49">
        <v>3</v>
      </c>
      <c r="Z49">
        <v>1</v>
      </c>
      <c r="AA49">
        <v>0</v>
      </c>
      <c r="AB49">
        <v>0</v>
      </c>
      <c r="AE49" t="s">
        <v>12</v>
      </c>
      <c r="AF49" t="s">
        <v>63</v>
      </c>
      <c r="AG49">
        <f t="shared" si="1"/>
        <v>15</v>
      </c>
      <c r="AH49" s="2">
        <f t="shared" si="2"/>
        <v>0.33333333333333331</v>
      </c>
      <c r="AI49" s="2">
        <f t="shared" si="3"/>
        <v>1.5555555555555556</v>
      </c>
      <c r="AK49">
        <f t="shared" si="4"/>
        <v>5</v>
      </c>
      <c r="AL49">
        <f t="shared" si="5"/>
        <v>10</v>
      </c>
      <c r="AM49">
        <f t="shared" si="6"/>
        <v>14</v>
      </c>
      <c r="AN49">
        <f t="shared" si="7"/>
        <v>9</v>
      </c>
      <c r="AO49">
        <f t="shared" si="8"/>
        <v>2</v>
      </c>
      <c r="AP49">
        <f t="shared" si="9"/>
        <v>0</v>
      </c>
      <c r="AQ49">
        <f t="shared" si="10"/>
        <v>0</v>
      </c>
    </row>
    <row r="50" spans="2:43" x14ac:dyDescent="0.2">
      <c r="B50" t="s">
        <v>32</v>
      </c>
      <c r="C50" t="s">
        <v>89</v>
      </c>
      <c r="D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P50" t="s">
        <v>32</v>
      </c>
      <c r="Q50" t="s">
        <v>89</v>
      </c>
      <c r="R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E50" t="s">
        <v>32</v>
      </c>
      <c r="AF50" t="s">
        <v>89</v>
      </c>
      <c r="AG50">
        <f t="shared" si="1"/>
        <v>0</v>
      </c>
      <c r="AH50" s="2"/>
      <c r="AI50" s="2"/>
      <c r="AK50">
        <f t="shared" si="4"/>
        <v>0</v>
      </c>
      <c r="AL50">
        <f t="shared" si="5"/>
        <v>0</v>
      </c>
      <c r="AM50">
        <f t="shared" si="6"/>
        <v>0</v>
      </c>
      <c r="AN50">
        <f t="shared" si="7"/>
        <v>0</v>
      </c>
      <c r="AO50">
        <f t="shared" si="8"/>
        <v>0</v>
      </c>
      <c r="AP50">
        <f t="shared" si="9"/>
        <v>0</v>
      </c>
      <c r="AQ50">
        <f t="shared" si="10"/>
        <v>0</v>
      </c>
    </row>
    <row r="51" spans="2:43" x14ac:dyDescent="0.2">
      <c r="B51" t="s">
        <v>32</v>
      </c>
      <c r="C51" t="s">
        <v>43</v>
      </c>
      <c r="D51">
        <v>34</v>
      </c>
      <c r="E51" s="2">
        <v>0.441</v>
      </c>
      <c r="F51">
        <v>1.55</v>
      </c>
      <c r="G51" s="2">
        <v>0.51600000000000001</v>
      </c>
      <c r="H51">
        <v>15</v>
      </c>
      <c r="I51">
        <v>19</v>
      </c>
      <c r="J51">
        <v>31</v>
      </c>
      <c r="K51">
        <v>20</v>
      </c>
      <c r="L51">
        <v>4</v>
      </c>
      <c r="M51">
        <v>0</v>
      </c>
      <c r="N51">
        <v>0</v>
      </c>
      <c r="P51" t="s">
        <v>32</v>
      </c>
      <c r="Q51" t="s">
        <v>43</v>
      </c>
      <c r="R51">
        <v>39</v>
      </c>
      <c r="S51" s="2">
        <v>0.53800000000000003</v>
      </c>
      <c r="T51">
        <v>1.05</v>
      </c>
      <c r="U51" s="2">
        <v>0.33300000000000002</v>
      </c>
      <c r="V51">
        <v>21</v>
      </c>
      <c r="W51">
        <v>18</v>
      </c>
      <c r="X51">
        <v>21</v>
      </c>
      <c r="Y51">
        <v>20</v>
      </c>
      <c r="Z51">
        <v>2</v>
      </c>
      <c r="AA51">
        <v>0</v>
      </c>
      <c r="AB51">
        <v>0</v>
      </c>
      <c r="AE51" t="s">
        <v>32</v>
      </c>
      <c r="AF51" t="s">
        <v>43</v>
      </c>
      <c r="AG51">
        <f t="shared" si="1"/>
        <v>73</v>
      </c>
      <c r="AH51" s="2">
        <f t="shared" si="2"/>
        <v>0.49315068493150682</v>
      </c>
      <c r="AI51" s="2">
        <f t="shared" si="3"/>
        <v>1.3</v>
      </c>
      <c r="AK51">
        <f t="shared" si="4"/>
        <v>36</v>
      </c>
      <c r="AL51">
        <f t="shared" si="5"/>
        <v>37</v>
      </c>
      <c r="AM51">
        <f t="shared" si="6"/>
        <v>52</v>
      </c>
      <c r="AN51">
        <f t="shared" si="7"/>
        <v>40</v>
      </c>
      <c r="AO51">
        <f t="shared" si="8"/>
        <v>6</v>
      </c>
      <c r="AP51">
        <f t="shared" si="9"/>
        <v>0</v>
      </c>
      <c r="AQ51">
        <f t="shared" si="10"/>
        <v>0</v>
      </c>
    </row>
    <row r="52" spans="2:43" x14ac:dyDescent="0.2">
      <c r="B52" t="s">
        <v>12</v>
      </c>
      <c r="C52" t="s">
        <v>59</v>
      </c>
      <c r="D52">
        <v>16</v>
      </c>
      <c r="E52" s="2">
        <v>0.5</v>
      </c>
      <c r="F52">
        <v>0.83</v>
      </c>
      <c r="G52" s="2">
        <v>0.5</v>
      </c>
      <c r="H52">
        <v>8</v>
      </c>
      <c r="I52">
        <v>8</v>
      </c>
      <c r="J52">
        <v>10</v>
      </c>
      <c r="K52">
        <v>12</v>
      </c>
      <c r="L52">
        <v>4</v>
      </c>
      <c r="M52">
        <v>0</v>
      </c>
      <c r="N52">
        <v>0</v>
      </c>
      <c r="P52" t="s">
        <v>12</v>
      </c>
      <c r="Q52" t="s">
        <v>59</v>
      </c>
      <c r="R52">
        <v>1</v>
      </c>
      <c r="S52" s="2">
        <v>0</v>
      </c>
      <c r="T52">
        <v>0</v>
      </c>
      <c r="U52" s="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E52" t="s">
        <v>12</v>
      </c>
      <c r="AF52" t="s">
        <v>59</v>
      </c>
      <c r="AG52">
        <f t="shared" si="1"/>
        <v>17</v>
      </c>
      <c r="AH52" s="2">
        <f t="shared" si="2"/>
        <v>0.47058823529411764</v>
      </c>
      <c r="AI52" s="2">
        <f t="shared" si="3"/>
        <v>0.76923076923076927</v>
      </c>
      <c r="AK52">
        <f t="shared" si="4"/>
        <v>8</v>
      </c>
      <c r="AL52">
        <f t="shared" si="5"/>
        <v>9</v>
      </c>
      <c r="AM52">
        <f t="shared" si="6"/>
        <v>10</v>
      </c>
      <c r="AN52">
        <f t="shared" si="7"/>
        <v>13</v>
      </c>
      <c r="AO52">
        <f t="shared" si="8"/>
        <v>4</v>
      </c>
      <c r="AP52">
        <f t="shared" si="9"/>
        <v>0</v>
      </c>
      <c r="AQ52">
        <f t="shared" si="10"/>
        <v>0</v>
      </c>
    </row>
    <row r="53" spans="2:43" x14ac:dyDescent="0.2">
      <c r="B53" t="s">
        <v>32</v>
      </c>
      <c r="C53" t="s">
        <v>42</v>
      </c>
      <c r="D53">
        <v>137</v>
      </c>
      <c r="E53" s="2">
        <v>0.47399999999999998</v>
      </c>
      <c r="F53">
        <v>1.01</v>
      </c>
      <c r="G53" s="2">
        <v>0.54500000000000004</v>
      </c>
      <c r="H53">
        <v>65</v>
      </c>
      <c r="I53">
        <v>72</v>
      </c>
      <c r="J53">
        <v>88</v>
      </c>
      <c r="K53">
        <v>87</v>
      </c>
      <c r="L53">
        <v>27</v>
      </c>
      <c r="M53">
        <v>0</v>
      </c>
      <c r="N53">
        <v>1</v>
      </c>
      <c r="P53" t="s">
        <v>32</v>
      </c>
      <c r="Q53" t="s">
        <v>42</v>
      </c>
      <c r="R53">
        <v>33</v>
      </c>
      <c r="S53" s="2">
        <v>0.45500000000000002</v>
      </c>
      <c r="T53">
        <v>1.19</v>
      </c>
      <c r="U53" s="2">
        <v>0.28000000000000003</v>
      </c>
      <c r="V53">
        <v>15</v>
      </c>
      <c r="W53">
        <v>18</v>
      </c>
      <c r="X53">
        <v>25</v>
      </c>
      <c r="Y53">
        <v>21</v>
      </c>
      <c r="Z53">
        <v>5</v>
      </c>
      <c r="AA53">
        <v>0</v>
      </c>
      <c r="AB53">
        <v>0</v>
      </c>
      <c r="AE53" t="s">
        <v>32</v>
      </c>
      <c r="AF53" t="s">
        <v>42</v>
      </c>
      <c r="AG53">
        <f t="shared" si="1"/>
        <v>170</v>
      </c>
      <c r="AH53" s="2">
        <f t="shared" si="2"/>
        <v>0.47058823529411764</v>
      </c>
      <c r="AI53" s="2">
        <f t="shared" si="3"/>
        <v>1.0462962962962963</v>
      </c>
      <c r="AK53">
        <f t="shared" si="4"/>
        <v>80</v>
      </c>
      <c r="AL53">
        <f t="shared" si="5"/>
        <v>90</v>
      </c>
      <c r="AM53">
        <f t="shared" si="6"/>
        <v>113</v>
      </c>
      <c r="AN53">
        <f t="shared" si="7"/>
        <v>108</v>
      </c>
      <c r="AO53">
        <f t="shared" si="8"/>
        <v>32</v>
      </c>
      <c r="AP53">
        <f t="shared" si="9"/>
        <v>0</v>
      </c>
      <c r="AQ53">
        <f t="shared" si="10"/>
        <v>1</v>
      </c>
    </row>
    <row r="54" spans="2:43" x14ac:dyDescent="0.2">
      <c r="B54" t="s">
        <v>12</v>
      </c>
      <c r="C54" t="s">
        <v>60</v>
      </c>
      <c r="D54">
        <v>12</v>
      </c>
      <c r="E54" s="2">
        <v>0.41699999999999998</v>
      </c>
      <c r="F54">
        <v>1</v>
      </c>
      <c r="G54" s="2">
        <v>0.28599999999999998</v>
      </c>
      <c r="H54">
        <v>5</v>
      </c>
      <c r="I54">
        <v>7</v>
      </c>
      <c r="J54">
        <v>7</v>
      </c>
      <c r="K54">
        <v>7</v>
      </c>
      <c r="L54">
        <v>3</v>
      </c>
      <c r="M54">
        <v>0</v>
      </c>
      <c r="N54">
        <v>0</v>
      </c>
      <c r="P54" t="s">
        <v>12</v>
      </c>
      <c r="Q54" t="s">
        <v>60</v>
      </c>
      <c r="R54">
        <v>5</v>
      </c>
      <c r="S54" s="2">
        <v>0</v>
      </c>
      <c r="T54">
        <v>1</v>
      </c>
      <c r="U54" s="2">
        <v>0.4</v>
      </c>
      <c r="V54">
        <v>0</v>
      </c>
      <c r="W54">
        <v>5</v>
      </c>
      <c r="X54">
        <v>5</v>
      </c>
      <c r="Y54">
        <v>5</v>
      </c>
      <c r="Z54">
        <v>1</v>
      </c>
      <c r="AA54">
        <v>0</v>
      </c>
      <c r="AB54">
        <v>0</v>
      </c>
      <c r="AE54" t="s">
        <v>12</v>
      </c>
      <c r="AF54" t="s">
        <v>60</v>
      </c>
      <c r="AG54">
        <f t="shared" si="1"/>
        <v>17</v>
      </c>
      <c r="AH54" s="2">
        <f t="shared" si="2"/>
        <v>0.29411764705882354</v>
      </c>
      <c r="AI54" s="2">
        <f t="shared" si="3"/>
        <v>1</v>
      </c>
      <c r="AK54">
        <f t="shared" si="4"/>
        <v>5</v>
      </c>
      <c r="AL54">
        <f t="shared" si="5"/>
        <v>12</v>
      </c>
      <c r="AM54">
        <f t="shared" si="6"/>
        <v>12</v>
      </c>
      <c r="AN54">
        <f t="shared" si="7"/>
        <v>12</v>
      </c>
      <c r="AO54">
        <f t="shared" si="8"/>
        <v>4</v>
      </c>
      <c r="AP54">
        <f t="shared" si="9"/>
        <v>0</v>
      </c>
      <c r="AQ54">
        <f t="shared" si="10"/>
        <v>0</v>
      </c>
    </row>
    <row r="55" spans="2:43" x14ac:dyDescent="0.2">
      <c r="B55" t="s">
        <v>32</v>
      </c>
      <c r="C55" t="s">
        <v>38</v>
      </c>
      <c r="D55">
        <v>98</v>
      </c>
      <c r="E55" s="2">
        <v>0.44900000000000001</v>
      </c>
      <c r="F55">
        <v>1.33</v>
      </c>
      <c r="G55" s="2">
        <v>0.61599999999999999</v>
      </c>
      <c r="H55">
        <v>44</v>
      </c>
      <c r="I55">
        <v>54</v>
      </c>
      <c r="J55">
        <v>73</v>
      </c>
      <c r="K55">
        <v>55</v>
      </c>
      <c r="L55">
        <v>26</v>
      </c>
      <c r="M55">
        <v>0</v>
      </c>
      <c r="N55">
        <v>0</v>
      </c>
      <c r="P55" t="s">
        <v>32</v>
      </c>
      <c r="Q55" t="s">
        <v>38</v>
      </c>
      <c r="R55">
        <v>58</v>
      </c>
      <c r="S55" s="2">
        <v>0.43099999999999999</v>
      </c>
      <c r="T55">
        <v>0.69</v>
      </c>
      <c r="U55" s="2">
        <v>0.68600000000000005</v>
      </c>
      <c r="V55">
        <v>25</v>
      </c>
      <c r="W55">
        <v>33</v>
      </c>
      <c r="X55">
        <v>35</v>
      </c>
      <c r="Y55">
        <v>51</v>
      </c>
      <c r="Z55">
        <v>12</v>
      </c>
      <c r="AA55">
        <v>0</v>
      </c>
      <c r="AB55">
        <v>0</v>
      </c>
      <c r="AE55" t="s">
        <v>32</v>
      </c>
      <c r="AF55" t="s">
        <v>38</v>
      </c>
      <c r="AG55">
        <f t="shared" si="1"/>
        <v>156</v>
      </c>
      <c r="AH55" s="2">
        <f t="shared" si="2"/>
        <v>0.44230769230769229</v>
      </c>
      <c r="AI55" s="2">
        <f t="shared" si="3"/>
        <v>1.0188679245283019</v>
      </c>
      <c r="AK55">
        <f t="shared" si="4"/>
        <v>69</v>
      </c>
      <c r="AL55">
        <f t="shared" si="5"/>
        <v>87</v>
      </c>
      <c r="AM55">
        <f t="shared" si="6"/>
        <v>108</v>
      </c>
      <c r="AN55">
        <f t="shared" si="7"/>
        <v>106</v>
      </c>
      <c r="AO55">
        <f t="shared" si="8"/>
        <v>38</v>
      </c>
      <c r="AP55">
        <f t="shared" si="9"/>
        <v>0</v>
      </c>
      <c r="AQ55">
        <f t="shared" si="10"/>
        <v>0</v>
      </c>
    </row>
    <row r="56" spans="2:43" x14ac:dyDescent="0.2">
      <c r="B56" t="s">
        <v>32</v>
      </c>
      <c r="C56" t="s">
        <v>41</v>
      </c>
      <c r="D56">
        <v>47</v>
      </c>
      <c r="E56" s="2">
        <v>0.42599999999999999</v>
      </c>
      <c r="F56">
        <v>1.07</v>
      </c>
      <c r="G56" s="2">
        <v>0.40600000000000003</v>
      </c>
      <c r="H56">
        <v>20</v>
      </c>
      <c r="I56">
        <v>27</v>
      </c>
      <c r="J56">
        <v>32</v>
      </c>
      <c r="K56">
        <v>30</v>
      </c>
      <c r="L56">
        <v>11</v>
      </c>
      <c r="M56">
        <v>0</v>
      </c>
      <c r="N56">
        <v>1</v>
      </c>
      <c r="P56" t="s">
        <v>32</v>
      </c>
      <c r="Q56" t="s">
        <v>41</v>
      </c>
      <c r="R56">
        <v>88</v>
      </c>
      <c r="S56" s="2">
        <v>0.375</v>
      </c>
      <c r="T56">
        <v>0.95</v>
      </c>
      <c r="U56" s="2">
        <v>0.35</v>
      </c>
      <c r="V56">
        <v>33</v>
      </c>
      <c r="W56">
        <v>55</v>
      </c>
      <c r="X56">
        <v>60</v>
      </c>
      <c r="Y56">
        <v>63</v>
      </c>
      <c r="Z56">
        <v>16</v>
      </c>
      <c r="AA56">
        <v>0</v>
      </c>
      <c r="AB56">
        <v>0</v>
      </c>
      <c r="AE56" t="s">
        <v>32</v>
      </c>
      <c r="AF56" t="s">
        <v>41</v>
      </c>
      <c r="AG56">
        <f t="shared" si="1"/>
        <v>135</v>
      </c>
      <c r="AH56" s="2">
        <f t="shared" si="2"/>
        <v>0.3925925925925926</v>
      </c>
      <c r="AI56" s="2">
        <f t="shared" si="3"/>
        <v>0.989247311827957</v>
      </c>
      <c r="AK56">
        <f t="shared" si="4"/>
        <v>53</v>
      </c>
      <c r="AL56">
        <f t="shared" si="5"/>
        <v>82</v>
      </c>
      <c r="AM56">
        <f t="shared" si="6"/>
        <v>92</v>
      </c>
      <c r="AN56">
        <f t="shared" si="7"/>
        <v>93</v>
      </c>
      <c r="AO56">
        <f t="shared" si="8"/>
        <v>27</v>
      </c>
      <c r="AP56">
        <f t="shared" si="9"/>
        <v>0</v>
      </c>
      <c r="AQ56">
        <f t="shared" si="10"/>
        <v>1</v>
      </c>
    </row>
    <row r="57" spans="2:43" x14ac:dyDescent="0.2">
      <c r="B57" t="s">
        <v>12</v>
      </c>
      <c r="C57" t="s">
        <v>15</v>
      </c>
      <c r="D57">
        <v>497</v>
      </c>
      <c r="E57" s="2">
        <v>0.64200000000000002</v>
      </c>
      <c r="F57">
        <v>0.95</v>
      </c>
      <c r="G57" s="2">
        <v>0.66200000000000003</v>
      </c>
      <c r="H57">
        <v>319</v>
      </c>
      <c r="I57">
        <v>178</v>
      </c>
      <c r="J57">
        <v>287</v>
      </c>
      <c r="K57">
        <v>303</v>
      </c>
      <c r="L57">
        <v>130</v>
      </c>
      <c r="M57">
        <v>0</v>
      </c>
      <c r="N57">
        <v>4</v>
      </c>
      <c r="P57" t="s">
        <v>12</v>
      </c>
      <c r="Q57" t="s">
        <v>15</v>
      </c>
      <c r="R57">
        <v>54</v>
      </c>
      <c r="S57" s="2">
        <v>0.57399999999999995</v>
      </c>
      <c r="T57">
        <v>1.1299999999999999</v>
      </c>
      <c r="U57" s="2">
        <v>0.51200000000000001</v>
      </c>
      <c r="V57">
        <v>31</v>
      </c>
      <c r="W57">
        <v>23</v>
      </c>
      <c r="X57">
        <v>43</v>
      </c>
      <c r="Y57">
        <v>38</v>
      </c>
      <c r="Z57">
        <v>13</v>
      </c>
      <c r="AA57">
        <v>1</v>
      </c>
      <c r="AB57">
        <v>1</v>
      </c>
      <c r="AE57" t="s">
        <v>12</v>
      </c>
      <c r="AF57" t="s">
        <v>15</v>
      </c>
      <c r="AG57">
        <f t="shared" si="1"/>
        <v>551</v>
      </c>
      <c r="AH57" s="2">
        <f t="shared" si="2"/>
        <v>0.63520871143375679</v>
      </c>
      <c r="AI57" s="2">
        <f t="shared" si="3"/>
        <v>0.967741935483871</v>
      </c>
      <c r="AK57">
        <f t="shared" si="4"/>
        <v>350</v>
      </c>
      <c r="AL57">
        <f t="shared" si="5"/>
        <v>201</v>
      </c>
      <c r="AM57">
        <f t="shared" si="6"/>
        <v>330</v>
      </c>
      <c r="AN57">
        <f t="shared" si="7"/>
        <v>341</v>
      </c>
      <c r="AO57">
        <f t="shared" si="8"/>
        <v>143</v>
      </c>
      <c r="AP57">
        <f t="shared" si="9"/>
        <v>1</v>
      </c>
      <c r="AQ57">
        <f t="shared" si="10"/>
        <v>5</v>
      </c>
    </row>
    <row r="58" spans="2:43" x14ac:dyDescent="0.2">
      <c r="B58" t="s">
        <v>32</v>
      </c>
      <c r="C58" t="s">
        <v>54</v>
      </c>
      <c r="D58">
        <v>6</v>
      </c>
      <c r="E58" s="2">
        <v>0.33300000000000002</v>
      </c>
      <c r="F58">
        <v>0.17</v>
      </c>
      <c r="G58" s="2">
        <v>1</v>
      </c>
      <c r="H58">
        <v>2</v>
      </c>
      <c r="I58">
        <v>4</v>
      </c>
      <c r="J58">
        <v>1</v>
      </c>
      <c r="K58">
        <v>6</v>
      </c>
      <c r="L58">
        <v>2</v>
      </c>
      <c r="M58">
        <v>0</v>
      </c>
      <c r="N58">
        <v>0</v>
      </c>
      <c r="P58" t="s">
        <v>32</v>
      </c>
      <c r="Q58" t="s">
        <v>54</v>
      </c>
      <c r="R58">
        <v>2</v>
      </c>
      <c r="S58" s="2">
        <v>0</v>
      </c>
      <c r="T58">
        <v>0.5</v>
      </c>
      <c r="U58" s="2">
        <v>0</v>
      </c>
      <c r="V58">
        <v>0</v>
      </c>
      <c r="W58">
        <v>2</v>
      </c>
      <c r="X58">
        <v>1</v>
      </c>
      <c r="Y58">
        <v>2</v>
      </c>
      <c r="Z58">
        <v>1</v>
      </c>
      <c r="AA58">
        <v>0</v>
      </c>
      <c r="AB58">
        <v>0</v>
      </c>
      <c r="AE58" t="s">
        <v>32</v>
      </c>
      <c r="AF58" t="s">
        <v>54</v>
      </c>
      <c r="AG58">
        <f t="shared" si="1"/>
        <v>8</v>
      </c>
      <c r="AH58" s="2">
        <f t="shared" si="2"/>
        <v>0.25</v>
      </c>
      <c r="AI58" s="2">
        <f t="shared" si="3"/>
        <v>0.25</v>
      </c>
      <c r="AK58">
        <f t="shared" si="4"/>
        <v>2</v>
      </c>
      <c r="AL58">
        <f t="shared" si="5"/>
        <v>6</v>
      </c>
      <c r="AM58">
        <f t="shared" si="6"/>
        <v>2</v>
      </c>
      <c r="AN58">
        <f t="shared" si="7"/>
        <v>8</v>
      </c>
      <c r="AO58">
        <f t="shared" si="8"/>
        <v>3</v>
      </c>
      <c r="AP58">
        <f t="shared" si="9"/>
        <v>0</v>
      </c>
      <c r="AQ58">
        <f t="shared" si="10"/>
        <v>0</v>
      </c>
    </row>
    <row r="59" spans="2:43" x14ac:dyDescent="0.2">
      <c r="B59" t="s">
        <v>12</v>
      </c>
      <c r="C59" t="s">
        <v>68</v>
      </c>
      <c r="D59">
        <v>1</v>
      </c>
      <c r="E59" s="2">
        <v>0</v>
      </c>
      <c r="F59">
        <v>0</v>
      </c>
      <c r="G59" s="2">
        <v>0</v>
      </c>
      <c r="H59">
        <v>0</v>
      </c>
      <c r="I59">
        <v>1</v>
      </c>
      <c r="J59">
        <v>0</v>
      </c>
      <c r="K59">
        <v>1</v>
      </c>
      <c r="L59">
        <v>0</v>
      </c>
      <c r="M59">
        <v>0</v>
      </c>
      <c r="N59">
        <v>0</v>
      </c>
      <c r="P59" t="s">
        <v>12</v>
      </c>
      <c r="Q59" t="s">
        <v>68</v>
      </c>
      <c r="R59">
        <v>2</v>
      </c>
      <c r="S59" s="2">
        <v>0.5</v>
      </c>
      <c r="T59">
        <v>3</v>
      </c>
      <c r="U59" s="2">
        <v>0.33300000000000002</v>
      </c>
      <c r="V59">
        <v>1</v>
      </c>
      <c r="W59">
        <v>1</v>
      </c>
      <c r="X59">
        <v>3</v>
      </c>
      <c r="Y59">
        <v>1</v>
      </c>
      <c r="Z59">
        <v>0</v>
      </c>
      <c r="AA59">
        <v>0</v>
      </c>
      <c r="AB59">
        <v>0</v>
      </c>
      <c r="AE59" t="s">
        <v>12</v>
      </c>
      <c r="AF59" t="s">
        <v>68</v>
      </c>
      <c r="AG59">
        <f t="shared" si="1"/>
        <v>3</v>
      </c>
      <c r="AH59" s="2">
        <f t="shared" si="2"/>
        <v>0.33333333333333331</v>
      </c>
      <c r="AI59" s="2">
        <f t="shared" si="3"/>
        <v>1.5</v>
      </c>
      <c r="AK59">
        <f t="shared" si="4"/>
        <v>1</v>
      </c>
      <c r="AL59">
        <f t="shared" si="5"/>
        <v>2</v>
      </c>
      <c r="AM59">
        <f t="shared" si="6"/>
        <v>3</v>
      </c>
      <c r="AN59">
        <f t="shared" si="7"/>
        <v>2</v>
      </c>
      <c r="AO59">
        <f t="shared" si="8"/>
        <v>0</v>
      </c>
      <c r="AP59">
        <f t="shared" si="9"/>
        <v>0</v>
      </c>
      <c r="AQ59">
        <f t="shared" si="10"/>
        <v>0</v>
      </c>
    </row>
    <row r="60" spans="2:43" x14ac:dyDescent="0.2">
      <c r="B60" t="s">
        <v>12</v>
      </c>
      <c r="C60" t="s">
        <v>80</v>
      </c>
      <c r="D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P60" t="s">
        <v>12</v>
      </c>
      <c r="Q60" t="s">
        <v>80</v>
      </c>
      <c r="R60">
        <v>5</v>
      </c>
      <c r="S60" s="2">
        <v>0.2</v>
      </c>
      <c r="T60">
        <v>1.5</v>
      </c>
      <c r="U60" s="2">
        <v>0</v>
      </c>
      <c r="V60">
        <v>1</v>
      </c>
      <c r="W60">
        <v>4</v>
      </c>
      <c r="X60">
        <v>6</v>
      </c>
      <c r="Y60">
        <v>4</v>
      </c>
      <c r="Z60">
        <v>2</v>
      </c>
      <c r="AA60">
        <v>0</v>
      </c>
      <c r="AB60">
        <v>0</v>
      </c>
      <c r="AE60" t="s">
        <v>12</v>
      </c>
      <c r="AF60" t="s">
        <v>80</v>
      </c>
      <c r="AG60">
        <f t="shared" si="1"/>
        <v>5</v>
      </c>
      <c r="AH60" s="2">
        <f t="shared" si="2"/>
        <v>0.2</v>
      </c>
      <c r="AI60" s="2">
        <f t="shared" si="3"/>
        <v>1.5</v>
      </c>
      <c r="AK60">
        <f t="shared" si="4"/>
        <v>1</v>
      </c>
      <c r="AL60">
        <f t="shared" si="5"/>
        <v>4</v>
      </c>
      <c r="AM60">
        <f t="shared" si="6"/>
        <v>6</v>
      </c>
      <c r="AN60">
        <f t="shared" si="7"/>
        <v>4</v>
      </c>
      <c r="AO60">
        <f t="shared" si="8"/>
        <v>2</v>
      </c>
      <c r="AP60">
        <f t="shared" si="9"/>
        <v>0</v>
      </c>
      <c r="AQ60">
        <f t="shared" si="10"/>
        <v>0</v>
      </c>
    </row>
    <row r="61" spans="2:43" x14ac:dyDescent="0.2">
      <c r="B61" t="s">
        <v>32</v>
      </c>
      <c r="C61" t="s">
        <v>83</v>
      </c>
      <c r="D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P61" t="s">
        <v>32</v>
      </c>
      <c r="Q61" t="s">
        <v>83</v>
      </c>
      <c r="R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E61" t="s">
        <v>32</v>
      </c>
      <c r="AF61" t="s">
        <v>83</v>
      </c>
      <c r="AG61">
        <f t="shared" si="1"/>
        <v>0</v>
      </c>
      <c r="AH61" s="2"/>
      <c r="AI61" s="2"/>
      <c r="AK61">
        <f t="shared" si="4"/>
        <v>0</v>
      </c>
      <c r="AL61">
        <f t="shared" si="5"/>
        <v>0</v>
      </c>
      <c r="AM61">
        <f t="shared" si="6"/>
        <v>0</v>
      </c>
      <c r="AN61">
        <f t="shared" si="7"/>
        <v>0</v>
      </c>
      <c r="AO61">
        <f t="shared" si="8"/>
        <v>0</v>
      </c>
      <c r="AP61">
        <f t="shared" si="9"/>
        <v>0</v>
      </c>
      <c r="AQ61">
        <f t="shared" si="10"/>
        <v>0</v>
      </c>
    </row>
    <row r="62" spans="2:43" x14ac:dyDescent="0.2">
      <c r="B62" t="s">
        <v>12</v>
      </c>
      <c r="C62" t="s">
        <v>84</v>
      </c>
      <c r="D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 t="s">
        <v>12</v>
      </c>
      <c r="Q62" t="s">
        <v>84</v>
      </c>
      <c r="R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E62" t="s">
        <v>12</v>
      </c>
      <c r="AF62" t="s">
        <v>84</v>
      </c>
      <c r="AG62">
        <f t="shared" si="1"/>
        <v>0</v>
      </c>
      <c r="AH62" s="2"/>
      <c r="AI62" s="2"/>
      <c r="AK62">
        <f t="shared" si="4"/>
        <v>0</v>
      </c>
      <c r="AL62">
        <f t="shared" si="5"/>
        <v>0</v>
      </c>
      <c r="AM62">
        <f t="shared" si="6"/>
        <v>0</v>
      </c>
      <c r="AN62">
        <f t="shared" si="7"/>
        <v>0</v>
      </c>
      <c r="AO62">
        <f t="shared" si="8"/>
        <v>0</v>
      </c>
      <c r="AP62">
        <f t="shared" si="9"/>
        <v>0</v>
      </c>
      <c r="AQ62">
        <f t="shared" si="10"/>
        <v>0</v>
      </c>
    </row>
    <row r="63" spans="2:43" x14ac:dyDescent="0.2">
      <c r="B63" t="s">
        <v>32</v>
      </c>
      <c r="C63" t="s">
        <v>50</v>
      </c>
      <c r="D63">
        <v>4</v>
      </c>
      <c r="E63" s="2">
        <v>0.75</v>
      </c>
      <c r="F63">
        <v>3</v>
      </c>
      <c r="G63" s="2">
        <v>0.66700000000000004</v>
      </c>
      <c r="H63">
        <v>3</v>
      </c>
      <c r="I63">
        <v>1</v>
      </c>
      <c r="J63">
        <v>3</v>
      </c>
      <c r="K63">
        <v>1</v>
      </c>
      <c r="L63">
        <v>0</v>
      </c>
      <c r="M63">
        <v>0</v>
      </c>
      <c r="N63">
        <v>0</v>
      </c>
      <c r="P63" t="s">
        <v>32</v>
      </c>
      <c r="Q63" t="s">
        <v>50</v>
      </c>
      <c r="R63">
        <v>16</v>
      </c>
      <c r="S63" s="2">
        <v>0.375</v>
      </c>
      <c r="T63">
        <v>0.73</v>
      </c>
      <c r="U63" s="2">
        <v>1</v>
      </c>
      <c r="V63">
        <v>6</v>
      </c>
      <c r="W63">
        <v>10</v>
      </c>
      <c r="X63">
        <v>8</v>
      </c>
      <c r="Y63">
        <v>11</v>
      </c>
      <c r="Z63">
        <v>3</v>
      </c>
      <c r="AA63">
        <v>0</v>
      </c>
      <c r="AB63">
        <v>0</v>
      </c>
      <c r="AE63" t="s">
        <v>32</v>
      </c>
      <c r="AF63" t="s">
        <v>50</v>
      </c>
      <c r="AG63">
        <f t="shared" si="1"/>
        <v>20</v>
      </c>
      <c r="AH63" s="2">
        <f t="shared" si="2"/>
        <v>0.45</v>
      </c>
      <c r="AI63" s="2">
        <f t="shared" si="3"/>
        <v>0.91666666666666663</v>
      </c>
      <c r="AK63">
        <f t="shared" si="4"/>
        <v>9</v>
      </c>
      <c r="AL63">
        <f t="shared" si="5"/>
        <v>11</v>
      </c>
      <c r="AM63">
        <f t="shared" si="6"/>
        <v>11</v>
      </c>
      <c r="AN63">
        <f t="shared" si="7"/>
        <v>12</v>
      </c>
      <c r="AO63">
        <f t="shared" si="8"/>
        <v>3</v>
      </c>
      <c r="AP63">
        <f t="shared" si="9"/>
        <v>0</v>
      </c>
      <c r="AQ63">
        <f t="shared" si="10"/>
        <v>0</v>
      </c>
    </row>
    <row r="64" spans="2:43" x14ac:dyDescent="0.2">
      <c r="B64" t="s">
        <v>32</v>
      </c>
      <c r="C64" t="s">
        <v>46</v>
      </c>
      <c r="D64">
        <v>12</v>
      </c>
      <c r="E64" s="2">
        <v>0.33300000000000002</v>
      </c>
      <c r="F64">
        <v>0.6</v>
      </c>
      <c r="G64" s="2">
        <v>0.66700000000000004</v>
      </c>
      <c r="H64">
        <v>4</v>
      </c>
      <c r="I64">
        <v>8</v>
      </c>
      <c r="J64">
        <v>6</v>
      </c>
      <c r="K64">
        <v>10</v>
      </c>
      <c r="L64">
        <v>2</v>
      </c>
      <c r="M64">
        <v>0</v>
      </c>
      <c r="N64">
        <v>0</v>
      </c>
      <c r="P64" t="s">
        <v>32</v>
      </c>
      <c r="Q64" t="s">
        <v>46</v>
      </c>
      <c r="R64">
        <v>46</v>
      </c>
      <c r="S64" s="2">
        <v>0.60899999999999999</v>
      </c>
      <c r="T64">
        <v>2</v>
      </c>
      <c r="U64" s="2">
        <v>0.61899999999999999</v>
      </c>
      <c r="V64">
        <v>28</v>
      </c>
      <c r="W64">
        <v>18</v>
      </c>
      <c r="X64">
        <v>42</v>
      </c>
      <c r="Y64">
        <v>21</v>
      </c>
      <c r="Z64">
        <v>2</v>
      </c>
      <c r="AA64">
        <v>0</v>
      </c>
      <c r="AB64">
        <v>0</v>
      </c>
      <c r="AE64" t="s">
        <v>32</v>
      </c>
      <c r="AF64" t="s">
        <v>46</v>
      </c>
      <c r="AG64">
        <f t="shared" si="1"/>
        <v>58</v>
      </c>
      <c r="AH64" s="2">
        <f t="shared" si="2"/>
        <v>0.55172413793103448</v>
      </c>
      <c r="AI64" s="2">
        <f t="shared" si="3"/>
        <v>1.5483870967741935</v>
      </c>
      <c r="AK64">
        <f t="shared" si="4"/>
        <v>32</v>
      </c>
      <c r="AL64">
        <f t="shared" si="5"/>
        <v>26</v>
      </c>
      <c r="AM64">
        <f t="shared" si="6"/>
        <v>48</v>
      </c>
      <c r="AN64">
        <f t="shared" si="7"/>
        <v>31</v>
      </c>
      <c r="AO64">
        <f t="shared" si="8"/>
        <v>4</v>
      </c>
      <c r="AP64">
        <f t="shared" si="9"/>
        <v>0</v>
      </c>
      <c r="AQ64">
        <f t="shared" si="10"/>
        <v>0</v>
      </c>
    </row>
    <row r="65" spans="2:43" x14ac:dyDescent="0.2">
      <c r="B65" t="s">
        <v>12</v>
      </c>
      <c r="C65" t="s">
        <v>24</v>
      </c>
      <c r="D65">
        <v>38</v>
      </c>
      <c r="E65" s="2">
        <v>0.47399999999999998</v>
      </c>
      <c r="F65">
        <v>0.59</v>
      </c>
      <c r="G65" s="2">
        <v>0.35299999999999998</v>
      </c>
      <c r="H65">
        <v>18</v>
      </c>
      <c r="I65">
        <v>20</v>
      </c>
      <c r="J65">
        <v>17</v>
      </c>
      <c r="K65">
        <v>29</v>
      </c>
      <c r="L65">
        <v>5</v>
      </c>
      <c r="M65">
        <v>0</v>
      </c>
      <c r="N65">
        <v>2</v>
      </c>
      <c r="P65" t="s">
        <v>12</v>
      </c>
      <c r="Q65" t="s">
        <v>24</v>
      </c>
      <c r="R65">
        <v>26</v>
      </c>
      <c r="S65" s="2">
        <v>0.53800000000000003</v>
      </c>
      <c r="T65">
        <v>1.25</v>
      </c>
      <c r="U65" s="2">
        <v>0.15</v>
      </c>
      <c r="V65">
        <v>14</v>
      </c>
      <c r="W65">
        <v>12</v>
      </c>
      <c r="X65">
        <v>20</v>
      </c>
      <c r="Y65">
        <v>16</v>
      </c>
      <c r="Z65">
        <v>11</v>
      </c>
      <c r="AA65">
        <v>0</v>
      </c>
      <c r="AB65">
        <v>0</v>
      </c>
      <c r="AE65" t="s">
        <v>12</v>
      </c>
      <c r="AF65" t="s">
        <v>24</v>
      </c>
      <c r="AG65">
        <f t="shared" si="1"/>
        <v>64</v>
      </c>
      <c r="AH65" s="2">
        <f t="shared" si="2"/>
        <v>0.5</v>
      </c>
      <c r="AI65" s="2">
        <f t="shared" si="3"/>
        <v>0.82222222222222219</v>
      </c>
      <c r="AK65">
        <f t="shared" si="4"/>
        <v>32</v>
      </c>
      <c r="AL65">
        <f t="shared" si="5"/>
        <v>32</v>
      </c>
      <c r="AM65">
        <f t="shared" si="6"/>
        <v>37</v>
      </c>
      <c r="AN65">
        <f t="shared" si="7"/>
        <v>45</v>
      </c>
      <c r="AO65">
        <f t="shared" si="8"/>
        <v>16</v>
      </c>
      <c r="AP65">
        <f t="shared" si="9"/>
        <v>0</v>
      </c>
      <c r="AQ65">
        <f t="shared" si="10"/>
        <v>2</v>
      </c>
    </row>
    <row r="66" spans="2:43" x14ac:dyDescent="0.2">
      <c r="B66" t="s">
        <v>32</v>
      </c>
      <c r="C66" t="s">
        <v>34</v>
      </c>
      <c r="D66">
        <v>158</v>
      </c>
      <c r="E66" s="2">
        <v>0.46800000000000003</v>
      </c>
      <c r="F66">
        <v>1.33</v>
      </c>
      <c r="G66" s="2">
        <v>0.495</v>
      </c>
      <c r="H66">
        <v>74</v>
      </c>
      <c r="I66">
        <v>84</v>
      </c>
      <c r="J66">
        <v>105</v>
      </c>
      <c r="K66">
        <v>79</v>
      </c>
      <c r="L66">
        <v>31</v>
      </c>
      <c r="M66">
        <v>0</v>
      </c>
      <c r="N66">
        <v>0</v>
      </c>
      <c r="P66" t="s">
        <v>32</v>
      </c>
      <c r="Q66" t="s">
        <v>34</v>
      </c>
      <c r="R66">
        <v>93</v>
      </c>
      <c r="S66" s="2">
        <v>0.441</v>
      </c>
      <c r="T66">
        <v>1.27</v>
      </c>
      <c r="U66" s="2">
        <v>0.57099999999999995</v>
      </c>
      <c r="V66">
        <v>41</v>
      </c>
      <c r="W66">
        <v>52</v>
      </c>
      <c r="X66">
        <v>70</v>
      </c>
      <c r="Y66">
        <v>55</v>
      </c>
      <c r="Z66">
        <v>16</v>
      </c>
      <c r="AA66">
        <v>0</v>
      </c>
      <c r="AB66">
        <v>1</v>
      </c>
      <c r="AE66" t="s">
        <v>32</v>
      </c>
      <c r="AF66" t="s">
        <v>34</v>
      </c>
      <c r="AG66">
        <f t="shared" si="1"/>
        <v>251</v>
      </c>
      <c r="AH66" s="2">
        <f t="shared" si="2"/>
        <v>0.45816733067729082</v>
      </c>
      <c r="AI66" s="2">
        <f t="shared" si="3"/>
        <v>1.3059701492537314</v>
      </c>
      <c r="AK66">
        <f t="shared" si="4"/>
        <v>115</v>
      </c>
      <c r="AL66">
        <f t="shared" si="5"/>
        <v>136</v>
      </c>
      <c r="AM66">
        <f t="shared" si="6"/>
        <v>175</v>
      </c>
      <c r="AN66">
        <f t="shared" si="7"/>
        <v>134</v>
      </c>
      <c r="AO66">
        <f t="shared" si="8"/>
        <v>47</v>
      </c>
      <c r="AP66">
        <f t="shared" si="9"/>
        <v>0</v>
      </c>
      <c r="AQ66">
        <f t="shared" si="10"/>
        <v>1</v>
      </c>
    </row>
    <row r="67" spans="2:43" x14ac:dyDescent="0.2">
      <c r="B67" t="s">
        <v>32</v>
      </c>
      <c r="C67" t="s">
        <v>49</v>
      </c>
      <c r="D67">
        <v>15</v>
      </c>
      <c r="E67" s="2">
        <v>0.33300000000000002</v>
      </c>
      <c r="F67">
        <v>0.83</v>
      </c>
      <c r="G67" s="2">
        <v>0.7</v>
      </c>
      <c r="H67">
        <v>5</v>
      </c>
      <c r="I67">
        <v>10</v>
      </c>
      <c r="J67">
        <v>10</v>
      </c>
      <c r="K67">
        <v>12</v>
      </c>
      <c r="L67">
        <v>1</v>
      </c>
      <c r="M67">
        <v>0</v>
      </c>
      <c r="N67">
        <v>0</v>
      </c>
      <c r="P67" t="s">
        <v>32</v>
      </c>
      <c r="Q67" t="s">
        <v>82</v>
      </c>
      <c r="R67">
        <v>10</v>
      </c>
      <c r="S67" s="2">
        <v>0.4</v>
      </c>
      <c r="T67">
        <v>0.56000000000000005</v>
      </c>
      <c r="U67" s="2">
        <v>0.6</v>
      </c>
      <c r="V67">
        <v>4</v>
      </c>
      <c r="W67">
        <v>6</v>
      </c>
      <c r="X67">
        <v>5</v>
      </c>
      <c r="Y67">
        <v>9</v>
      </c>
      <c r="Z67">
        <v>3</v>
      </c>
      <c r="AA67">
        <v>0</v>
      </c>
      <c r="AB67">
        <v>0</v>
      </c>
      <c r="AE67" t="s">
        <v>32</v>
      </c>
      <c r="AF67" t="s">
        <v>82</v>
      </c>
      <c r="AG67">
        <f t="shared" si="1"/>
        <v>25</v>
      </c>
      <c r="AH67" s="2">
        <f t="shared" si="2"/>
        <v>0.36</v>
      </c>
      <c r="AI67" s="2">
        <f t="shared" si="3"/>
        <v>0.7142857142857143</v>
      </c>
      <c r="AK67">
        <f t="shared" si="4"/>
        <v>9</v>
      </c>
      <c r="AL67">
        <f t="shared" si="5"/>
        <v>16</v>
      </c>
      <c r="AM67">
        <f t="shared" si="6"/>
        <v>15</v>
      </c>
      <c r="AN67">
        <f t="shared" si="7"/>
        <v>21</v>
      </c>
      <c r="AO67">
        <f t="shared" si="8"/>
        <v>4</v>
      </c>
      <c r="AP67">
        <f t="shared" si="9"/>
        <v>0</v>
      </c>
      <c r="AQ67">
        <f t="shared" si="10"/>
        <v>0</v>
      </c>
    </row>
    <row r="68" spans="2:43" x14ac:dyDescent="0.2">
      <c r="B68" t="s">
        <v>12</v>
      </c>
      <c r="C68" t="s">
        <v>29</v>
      </c>
      <c r="D68">
        <v>45</v>
      </c>
      <c r="E68" s="2">
        <v>0.48899999999999999</v>
      </c>
      <c r="F68">
        <v>0.9</v>
      </c>
      <c r="G68" s="2">
        <v>0.314</v>
      </c>
      <c r="H68">
        <v>22</v>
      </c>
      <c r="I68">
        <v>23</v>
      </c>
      <c r="J68">
        <v>35</v>
      </c>
      <c r="K68">
        <v>39</v>
      </c>
      <c r="L68">
        <v>15</v>
      </c>
      <c r="M68">
        <v>0</v>
      </c>
      <c r="N68">
        <v>0</v>
      </c>
      <c r="P68" t="s">
        <v>12</v>
      </c>
      <c r="Q68" t="s">
        <v>29</v>
      </c>
      <c r="R68">
        <v>31</v>
      </c>
      <c r="S68" s="2">
        <v>0.71</v>
      </c>
      <c r="T68">
        <v>1.32</v>
      </c>
      <c r="U68" s="2">
        <v>0.32</v>
      </c>
      <c r="V68">
        <v>22</v>
      </c>
      <c r="W68">
        <v>9</v>
      </c>
      <c r="X68">
        <v>25</v>
      </c>
      <c r="Y68">
        <v>19</v>
      </c>
      <c r="Z68">
        <v>20</v>
      </c>
      <c r="AA68">
        <v>0</v>
      </c>
      <c r="AB68">
        <v>0</v>
      </c>
      <c r="AE68" t="s">
        <v>12</v>
      </c>
      <c r="AF68" t="s">
        <v>29</v>
      </c>
      <c r="AG68">
        <f t="shared" si="1"/>
        <v>76</v>
      </c>
      <c r="AH68" s="2">
        <f t="shared" si="2"/>
        <v>0.57894736842105265</v>
      </c>
      <c r="AI68" s="2">
        <f t="shared" si="3"/>
        <v>1.0344827586206897</v>
      </c>
      <c r="AK68">
        <f t="shared" si="4"/>
        <v>44</v>
      </c>
      <c r="AL68">
        <f t="shared" si="5"/>
        <v>32</v>
      </c>
      <c r="AM68">
        <f t="shared" si="6"/>
        <v>60</v>
      </c>
      <c r="AN68">
        <f t="shared" si="7"/>
        <v>58</v>
      </c>
      <c r="AO68">
        <f t="shared" si="8"/>
        <v>35</v>
      </c>
      <c r="AP68">
        <f t="shared" si="9"/>
        <v>0</v>
      </c>
      <c r="AQ68">
        <f t="shared" si="10"/>
        <v>0</v>
      </c>
    </row>
    <row r="69" spans="2:43" x14ac:dyDescent="0.2">
      <c r="B69" t="s">
        <v>12</v>
      </c>
      <c r="C69" t="s">
        <v>61</v>
      </c>
      <c r="D69">
        <v>10</v>
      </c>
      <c r="E69" s="2">
        <v>0.5</v>
      </c>
      <c r="F69">
        <v>0.86</v>
      </c>
      <c r="G69" s="2">
        <v>0.66700000000000004</v>
      </c>
      <c r="H69">
        <v>5</v>
      </c>
      <c r="I69">
        <v>5</v>
      </c>
      <c r="J69">
        <v>6</v>
      </c>
      <c r="K69">
        <v>7</v>
      </c>
      <c r="L69">
        <v>1</v>
      </c>
      <c r="M69">
        <v>0</v>
      </c>
      <c r="N69">
        <v>0</v>
      </c>
      <c r="P69" t="s">
        <v>12</v>
      </c>
      <c r="Q69" t="s">
        <v>61</v>
      </c>
      <c r="R69">
        <v>7</v>
      </c>
      <c r="S69" s="2">
        <v>0.28599999999999998</v>
      </c>
      <c r="T69">
        <v>0.4</v>
      </c>
      <c r="U69" s="2">
        <v>0.5</v>
      </c>
      <c r="V69">
        <v>2</v>
      </c>
      <c r="W69">
        <v>5</v>
      </c>
      <c r="X69">
        <v>2</v>
      </c>
      <c r="Y69">
        <v>5</v>
      </c>
      <c r="Z69">
        <v>0</v>
      </c>
      <c r="AA69">
        <v>0</v>
      </c>
      <c r="AB69">
        <v>0</v>
      </c>
      <c r="AE69" t="s">
        <v>12</v>
      </c>
      <c r="AF69" t="s">
        <v>61</v>
      </c>
      <c r="AG69">
        <f t="shared" si="1"/>
        <v>17</v>
      </c>
      <c r="AH69" s="2">
        <f t="shared" si="2"/>
        <v>0.41176470588235292</v>
      </c>
      <c r="AI69" s="2">
        <f t="shared" si="3"/>
        <v>0.66666666666666663</v>
      </c>
      <c r="AK69">
        <f t="shared" si="4"/>
        <v>7</v>
      </c>
      <c r="AL69">
        <f t="shared" si="5"/>
        <v>10</v>
      </c>
      <c r="AM69">
        <f t="shared" si="6"/>
        <v>8</v>
      </c>
      <c r="AN69">
        <f t="shared" si="7"/>
        <v>12</v>
      </c>
      <c r="AO69">
        <f t="shared" si="8"/>
        <v>1</v>
      </c>
      <c r="AP69">
        <f t="shared" si="9"/>
        <v>0</v>
      </c>
      <c r="AQ69">
        <f t="shared" si="10"/>
        <v>0</v>
      </c>
    </row>
    <row r="70" spans="2:43" x14ac:dyDescent="0.2">
      <c r="B70" t="s">
        <v>12</v>
      </c>
      <c r="C70" t="s">
        <v>19</v>
      </c>
      <c r="D70">
        <v>58</v>
      </c>
      <c r="E70" s="2">
        <v>0.58599999999999997</v>
      </c>
      <c r="F70">
        <v>1.0900000000000001</v>
      </c>
      <c r="G70" s="2">
        <v>0.216</v>
      </c>
      <c r="H70">
        <v>34</v>
      </c>
      <c r="I70">
        <v>24</v>
      </c>
      <c r="J70">
        <v>37</v>
      </c>
      <c r="K70">
        <v>34</v>
      </c>
      <c r="L70">
        <v>9</v>
      </c>
      <c r="M70">
        <v>0</v>
      </c>
      <c r="N70">
        <v>0</v>
      </c>
      <c r="P70" t="s">
        <v>12</v>
      </c>
      <c r="Q70" t="s">
        <v>19</v>
      </c>
      <c r="R70">
        <v>63</v>
      </c>
      <c r="S70" s="2">
        <v>0.65100000000000002</v>
      </c>
      <c r="T70">
        <v>1.39</v>
      </c>
      <c r="U70" s="2">
        <v>0.3</v>
      </c>
      <c r="V70">
        <v>41</v>
      </c>
      <c r="W70">
        <v>22</v>
      </c>
      <c r="X70">
        <v>50</v>
      </c>
      <c r="Y70">
        <v>36</v>
      </c>
      <c r="Z70">
        <v>12</v>
      </c>
      <c r="AA70">
        <v>0</v>
      </c>
      <c r="AB70">
        <v>0</v>
      </c>
      <c r="AE70" t="s">
        <v>12</v>
      </c>
      <c r="AF70" t="s">
        <v>19</v>
      </c>
      <c r="AG70">
        <f t="shared" ref="AG70:AG78" si="11">SUM(D70,R70)</f>
        <v>121</v>
      </c>
      <c r="AH70" s="2">
        <f t="shared" ref="AH70:AH78" si="12">SUM(AK70/AG70)</f>
        <v>0.6198347107438017</v>
      </c>
      <c r="AI70" s="2">
        <f t="shared" ref="AI70:AI78" si="13">SUM(AM70/AN70)</f>
        <v>1.2428571428571429</v>
      </c>
      <c r="AK70">
        <f t="shared" ref="AK70:AK78" si="14">SUM(H70,V70)</f>
        <v>75</v>
      </c>
      <c r="AL70">
        <f t="shared" ref="AL70:AL78" si="15">SUM(I70,W70)</f>
        <v>46</v>
      </c>
      <c r="AM70">
        <f t="shared" ref="AM70:AM78" si="16">SUM(J70,X70)</f>
        <v>87</v>
      </c>
      <c r="AN70">
        <f t="shared" ref="AN70:AN78" si="17">SUM(K70,Y70)</f>
        <v>70</v>
      </c>
      <c r="AO70">
        <f t="shared" ref="AO70:AO78" si="18">SUM(L70,Z70)</f>
        <v>21</v>
      </c>
      <c r="AP70">
        <f t="shared" ref="AP70:AP78" si="19">SUM(M70,AA70)</f>
        <v>0</v>
      </c>
      <c r="AQ70">
        <f t="shared" ref="AQ70:AQ78" si="20">SUM(N70,AB70)</f>
        <v>0</v>
      </c>
    </row>
    <row r="71" spans="2:43" x14ac:dyDescent="0.2">
      <c r="B71" t="s">
        <v>32</v>
      </c>
      <c r="C71" t="s">
        <v>73</v>
      </c>
      <c r="D71">
        <v>6</v>
      </c>
      <c r="E71" s="2">
        <v>0.33300000000000002</v>
      </c>
      <c r="F71">
        <v>0.2</v>
      </c>
      <c r="G71" s="2">
        <v>1</v>
      </c>
      <c r="H71">
        <v>2</v>
      </c>
      <c r="I71">
        <v>4</v>
      </c>
      <c r="J71">
        <v>1</v>
      </c>
      <c r="K71">
        <v>5</v>
      </c>
      <c r="L71">
        <v>4</v>
      </c>
      <c r="M71">
        <v>0</v>
      </c>
      <c r="N71">
        <v>0</v>
      </c>
      <c r="P71" t="s">
        <v>32</v>
      </c>
      <c r="Q71" t="s">
        <v>73</v>
      </c>
      <c r="R71">
        <v>5</v>
      </c>
      <c r="S71" s="2">
        <v>0.6</v>
      </c>
      <c r="T71">
        <v>0.67</v>
      </c>
      <c r="U71" s="2">
        <v>0.5</v>
      </c>
      <c r="V71">
        <v>3</v>
      </c>
      <c r="W71">
        <v>2</v>
      </c>
      <c r="X71">
        <v>2</v>
      </c>
      <c r="Y71">
        <v>3</v>
      </c>
      <c r="Z71">
        <v>1</v>
      </c>
      <c r="AA71">
        <v>0</v>
      </c>
      <c r="AB71">
        <v>0</v>
      </c>
      <c r="AE71" t="s">
        <v>32</v>
      </c>
      <c r="AF71" t="s">
        <v>73</v>
      </c>
      <c r="AG71">
        <f t="shared" si="11"/>
        <v>11</v>
      </c>
      <c r="AH71" s="2">
        <f t="shared" si="12"/>
        <v>0.45454545454545453</v>
      </c>
      <c r="AI71" s="2">
        <f t="shared" si="13"/>
        <v>0.375</v>
      </c>
      <c r="AK71">
        <f t="shared" si="14"/>
        <v>5</v>
      </c>
      <c r="AL71">
        <f t="shared" si="15"/>
        <v>6</v>
      </c>
      <c r="AM71">
        <f t="shared" si="16"/>
        <v>3</v>
      </c>
      <c r="AN71">
        <f t="shared" si="17"/>
        <v>8</v>
      </c>
      <c r="AO71">
        <f t="shared" si="18"/>
        <v>5</v>
      </c>
      <c r="AP71">
        <f t="shared" si="19"/>
        <v>0</v>
      </c>
      <c r="AQ71">
        <f t="shared" si="20"/>
        <v>0</v>
      </c>
    </row>
    <row r="72" spans="2:43" x14ac:dyDescent="0.2">
      <c r="B72" t="s">
        <v>12</v>
      </c>
      <c r="C72" t="s">
        <v>22</v>
      </c>
      <c r="D72">
        <v>89</v>
      </c>
      <c r="E72" s="2">
        <v>0.61799999999999999</v>
      </c>
      <c r="F72">
        <v>0.84</v>
      </c>
      <c r="G72" s="2">
        <v>0.45200000000000001</v>
      </c>
      <c r="H72">
        <v>55</v>
      </c>
      <c r="I72">
        <v>34</v>
      </c>
      <c r="J72">
        <v>42</v>
      </c>
      <c r="K72">
        <v>50</v>
      </c>
      <c r="L72">
        <v>30</v>
      </c>
      <c r="M72">
        <v>0</v>
      </c>
      <c r="N72">
        <v>0</v>
      </c>
      <c r="P72" t="s">
        <v>12</v>
      </c>
      <c r="Q72" t="s">
        <v>22</v>
      </c>
      <c r="R72">
        <v>35</v>
      </c>
      <c r="S72" s="2">
        <v>0.371</v>
      </c>
      <c r="T72">
        <v>1.1499999999999999</v>
      </c>
      <c r="U72" s="2">
        <v>0.33300000000000002</v>
      </c>
      <c r="V72">
        <v>13</v>
      </c>
      <c r="W72">
        <v>22</v>
      </c>
      <c r="X72">
        <v>30</v>
      </c>
      <c r="Y72">
        <v>26</v>
      </c>
      <c r="Z72">
        <v>7</v>
      </c>
      <c r="AA72">
        <v>0</v>
      </c>
      <c r="AB72">
        <v>0</v>
      </c>
      <c r="AE72" t="s">
        <v>12</v>
      </c>
      <c r="AF72" t="s">
        <v>22</v>
      </c>
      <c r="AG72">
        <f t="shared" si="11"/>
        <v>124</v>
      </c>
      <c r="AH72" s="2">
        <f t="shared" si="12"/>
        <v>0.54838709677419351</v>
      </c>
      <c r="AI72" s="2">
        <f t="shared" si="13"/>
        <v>0.94736842105263153</v>
      </c>
      <c r="AK72">
        <f t="shared" si="14"/>
        <v>68</v>
      </c>
      <c r="AL72">
        <f t="shared" si="15"/>
        <v>56</v>
      </c>
      <c r="AM72">
        <f t="shared" si="16"/>
        <v>72</v>
      </c>
      <c r="AN72">
        <f t="shared" si="17"/>
        <v>76</v>
      </c>
      <c r="AO72">
        <f t="shared" si="18"/>
        <v>37</v>
      </c>
      <c r="AP72">
        <f t="shared" si="19"/>
        <v>0</v>
      </c>
      <c r="AQ72">
        <f t="shared" si="20"/>
        <v>0</v>
      </c>
    </row>
    <row r="73" spans="2:43" x14ac:dyDescent="0.2">
      <c r="B73" t="s">
        <v>12</v>
      </c>
      <c r="C73" t="s">
        <v>27</v>
      </c>
      <c r="D73">
        <v>191</v>
      </c>
      <c r="E73" s="2">
        <v>0.57599999999999996</v>
      </c>
      <c r="F73">
        <v>1.06</v>
      </c>
      <c r="G73" s="2">
        <v>0.51900000000000002</v>
      </c>
      <c r="H73">
        <v>110</v>
      </c>
      <c r="I73">
        <v>81</v>
      </c>
      <c r="J73">
        <v>131</v>
      </c>
      <c r="K73">
        <v>124</v>
      </c>
      <c r="L73">
        <v>42</v>
      </c>
      <c r="M73">
        <v>0</v>
      </c>
      <c r="N73">
        <v>2</v>
      </c>
      <c r="P73" t="s">
        <v>12</v>
      </c>
      <c r="Q73" t="s">
        <v>27</v>
      </c>
      <c r="R73">
        <v>33</v>
      </c>
      <c r="S73" s="2">
        <v>0.45500000000000002</v>
      </c>
      <c r="T73">
        <v>1.37</v>
      </c>
      <c r="U73" s="2">
        <v>0.53800000000000003</v>
      </c>
      <c r="V73">
        <v>15</v>
      </c>
      <c r="W73">
        <v>18</v>
      </c>
      <c r="X73">
        <v>26</v>
      </c>
      <c r="Y73">
        <v>19</v>
      </c>
      <c r="Z73">
        <v>4</v>
      </c>
      <c r="AA73">
        <v>0</v>
      </c>
      <c r="AB73">
        <v>0</v>
      </c>
      <c r="AE73" t="s">
        <v>12</v>
      </c>
      <c r="AF73" t="s">
        <v>27</v>
      </c>
      <c r="AG73">
        <f t="shared" si="11"/>
        <v>224</v>
      </c>
      <c r="AH73" s="2">
        <f t="shared" si="12"/>
        <v>0.5580357142857143</v>
      </c>
      <c r="AI73" s="2">
        <f t="shared" si="13"/>
        <v>1.0979020979020979</v>
      </c>
      <c r="AK73">
        <f t="shared" si="14"/>
        <v>125</v>
      </c>
      <c r="AL73">
        <f t="shared" si="15"/>
        <v>99</v>
      </c>
      <c r="AM73">
        <f t="shared" si="16"/>
        <v>157</v>
      </c>
      <c r="AN73">
        <f t="shared" si="17"/>
        <v>143</v>
      </c>
      <c r="AO73">
        <f t="shared" si="18"/>
        <v>46</v>
      </c>
      <c r="AP73">
        <f t="shared" si="19"/>
        <v>0</v>
      </c>
      <c r="AQ73">
        <f t="shared" si="20"/>
        <v>2</v>
      </c>
    </row>
    <row r="74" spans="2:43" x14ac:dyDescent="0.2">
      <c r="B74" t="s">
        <v>12</v>
      </c>
      <c r="C74" t="s">
        <v>20</v>
      </c>
      <c r="D74">
        <v>142</v>
      </c>
      <c r="E74" s="2">
        <v>0.51400000000000001</v>
      </c>
      <c r="F74">
        <v>0.78</v>
      </c>
      <c r="G74" s="2">
        <v>0.57099999999999995</v>
      </c>
      <c r="H74">
        <v>73</v>
      </c>
      <c r="I74">
        <v>69</v>
      </c>
      <c r="J74">
        <v>77</v>
      </c>
      <c r="K74">
        <v>99</v>
      </c>
      <c r="L74">
        <v>36</v>
      </c>
      <c r="M74">
        <v>0</v>
      </c>
      <c r="N74">
        <v>2</v>
      </c>
      <c r="P74" t="s">
        <v>12</v>
      </c>
      <c r="Q74" t="s">
        <v>20</v>
      </c>
      <c r="R74">
        <v>63</v>
      </c>
      <c r="S74" s="2">
        <v>0.54</v>
      </c>
      <c r="T74">
        <v>0.95</v>
      </c>
      <c r="U74" s="2">
        <v>0.58299999999999996</v>
      </c>
      <c r="V74">
        <v>34</v>
      </c>
      <c r="W74">
        <v>29</v>
      </c>
      <c r="X74">
        <v>36</v>
      </c>
      <c r="Y74">
        <v>38</v>
      </c>
      <c r="Z74">
        <v>12</v>
      </c>
      <c r="AA74">
        <v>0</v>
      </c>
      <c r="AB74">
        <v>0</v>
      </c>
      <c r="AE74" t="s">
        <v>12</v>
      </c>
      <c r="AF74" t="s">
        <v>20</v>
      </c>
      <c r="AG74">
        <f t="shared" si="11"/>
        <v>205</v>
      </c>
      <c r="AH74" s="2">
        <f t="shared" si="12"/>
        <v>0.52195121951219514</v>
      </c>
      <c r="AI74" s="2">
        <f t="shared" si="13"/>
        <v>0.82481751824817517</v>
      </c>
      <c r="AK74">
        <f t="shared" si="14"/>
        <v>107</v>
      </c>
      <c r="AL74">
        <f t="shared" si="15"/>
        <v>98</v>
      </c>
      <c r="AM74">
        <f t="shared" si="16"/>
        <v>113</v>
      </c>
      <c r="AN74">
        <f t="shared" si="17"/>
        <v>137</v>
      </c>
      <c r="AO74">
        <f t="shared" si="18"/>
        <v>48</v>
      </c>
      <c r="AP74">
        <f t="shared" si="19"/>
        <v>0</v>
      </c>
      <c r="AQ74">
        <f t="shared" si="20"/>
        <v>2</v>
      </c>
    </row>
    <row r="75" spans="2:43" x14ac:dyDescent="0.2">
      <c r="B75" t="s">
        <v>12</v>
      </c>
      <c r="C75" t="s">
        <v>81</v>
      </c>
      <c r="D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 t="s">
        <v>12</v>
      </c>
      <c r="Q75" t="s">
        <v>81</v>
      </c>
      <c r="R75">
        <v>1</v>
      </c>
      <c r="S75" s="2">
        <v>1</v>
      </c>
      <c r="T75">
        <v>0</v>
      </c>
      <c r="U75" s="2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E75" t="s">
        <v>12</v>
      </c>
      <c r="AF75" t="s">
        <v>81</v>
      </c>
      <c r="AG75">
        <f t="shared" si="11"/>
        <v>1</v>
      </c>
      <c r="AH75" s="2">
        <f t="shared" si="12"/>
        <v>1</v>
      </c>
      <c r="AI75" s="2"/>
      <c r="AK75">
        <f t="shared" si="14"/>
        <v>1</v>
      </c>
      <c r="AL75">
        <f t="shared" si="15"/>
        <v>0</v>
      </c>
      <c r="AM75">
        <f t="shared" si="16"/>
        <v>0</v>
      </c>
      <c r="AN75">
        <f t="shared" si="17"/>
        <v>0</v>
      </c>
      <c r="AO75">
        <f t="shared" si="18"/>
        <v>0</v>
      </c>
      <c r="AP75">
        <f t="shared" si="19"/>
        <v>0</v>
      </c>
      <c r="AQ75">
        <f t="shared" si="20"/>
        <v>0</v>
      </c>
    </row>
    <row r="76" spans="2:43" x14ac:dyDescent="0.2">
      <c r="B76" t="s">
        <v>32</v>
      </c>
      <c r="C76" t="s">
        <v>48</v>
      </c>
      <c r="D76">
        <v>130</v>
      </c>
      <c r="E76" s="2">
        <v>0.49199999999999999</v>
      </c>
      <c r="F76">
        <v>0.81</v>
      </c>
      <c r="G76" s="2">
        <v>0.44600000000000001</v>
      </c>
      <c r="H76">
        <v>64</v>
      </c>
      <c r="I76">
        <v>66</v>
      </c>
      <c r="J76">
        <v>83</v>
      </c>
      <c r="K76">
        <v>103</v>
      </c>
      <c r="L76">
        <v>31</v>
      </c>
      <c r="M76">
        <v>0</v>
      </c>
      <c r="N76">
        <v>0</v>
      </c>
      <c r="P76" t="s">
        <v>32</v>
      </c>
      <c r="Q76" t="s">
        <v>48</v>
      </c>
      <c r="R76">
        <v>34</v>
      </c>
      <c r="S76" s="2">
        <v>0.58799999999999997</v>
      </c>
      <c r="T76">
        <v>1.38</v>
      </c>
      <c r="U76" s="2">
        <v>0.55200000000000005</v>
      </c>
      <c r="V76">
        <v>20</v>
      </c>
      <c r="W76">
        <v>14</v>
      </c>
      <c r="X76">
        <v>29</v>
      </c>
      <c r="Y76">
        <v>21</v>
      </c>
      <c r="Z76">
        <v>8</v>
      </c>
      <c r="AA76">
        <v>0</v>
      </c>
      <c r="AB76">
        <v>0</v>
      </c>
      <c r="AE76" t="s">
        <v>32</v>
      </c>
      <c r="AF76" t="s">
        <v>48</v>
      </c>
      <c r="AG76">
        <f t="shared" si="11"/>
        <v>164</v>
      </c>
      <c r="AH76" s="2">
        <f t="shared" si="12"/>
        <v>0.51219512195121952</v>
      </c>
      <c r="AI76" s="2">
        <f t="shared" si="13"/>
        <v>0.90322580645161288</v>
      </c>
      <c r="AK76">
        <f t="shared" si="14"/>
        <v>84</v>
      </c>
      <c r="AL76">
        <f t="shared" si="15"/>
        <v>80</v>
      </c>
      <c r="AM76">
        <f t="shared" si="16"/>
        <v>112</v>
      </c>
      <c r="AN76">
        <f t="shared" si="17"/>
        <v>124</v>
      </c>
      <c r="AO76">
        <f t="shared" si="18"/>
        <v>39</v>
      </c>
      <c r="AP76">
        <f t="shared" si="19"/>
        <v>0</v>
      </c>
      <c r="AQ76">
        <f t="shared" si="20"/>
        <v>0</v>
      </c>
    </row>
    <row r="77" spans="2:43" x14ac:dyDescent="0.2">
      <c r="B77" t="s">
        <v>32</v>
      </c>
      <c r="C77" t="s">
        <v>44</v>
      </c>
      <c r="D77">
        <v>35</v>
      </c>
      <c r="E77" s="2">
        <v>0.48599999999999999</v>
      </c>
      <c r="F77">
        <v>1.1000000000000001</v>
      </c>
      <c r="G77" s="2">
        <v>0.36399999999999999</v>
      </c>
      <c r="H77">
        <v>17</v>
      </c>
      <c r="I77">
        <v>18</v>
      </c>
      <c r="J77">
        <v>22</v>
      </c>
      <c r="K77">
        <v>20</v>
      </c>
      <c r="L77">
        <v>4</v>
      </c>
      <c r="M77">
        <v>0</v>
      </c>
      <c r="N77">
        <v>0</v>
      </c>
      <c r="P77" t="s">
        <v>32</v>
      </c>
      <c r="Q77" t="s">
        <v>44</v>
      </c>
      <c r="R77">
        <v>85</v>
      </c>
      <c r="S77" s="2">
        <v>0.38800000000000001</v>
      </c>
      <c r="T77">
        <v>0.69</v>
      </c>
      <c r="U77" s="2">
        <v>0.57099999999999995</v>
      </c>
      <c r="V77">
        <v>33</v>
      </c>
      <c r="W77">
        <v>52</v>
      </c>
      <c r="X77">
        <v>42</v>
      </c>
      <c r="Y77">
        <v>61</v>
      </c>
      <c r="Z77">
        <v>7</v>
      </c>
      <c r="AA77">
        <v>0</v>
      </c>
      <c r="AB77">
        <v>0</v>
      </c>
      <c r="AE77" t="s">
        <v>32</v>
      </c>
      <c r="AF77" t="s">
        <v>44</v>
      </c>
      <c r="AG77">
        <f t="shared" si="11"/>
        <v>120</v>
      </c>
      <c r="AH77" s="2">
        <f t="shared" si="12"/>
        <v>0.41666666666666669</v>
      </c>
      <c r="AI77" s="2">
        <f t="shared" si="13"/>
        <v>0.79012345679012341</v>
      </c>
      <c r="AK77">
        <f t="shared" si="14"/>
        <v>50</v>
      </c>
      <c r="AL77">
        <f t="shared" si="15"/>
        <v>70</v>
      </c>
      <c r="AM77">
        <f t="shared" si="16"/>
        <v>64</v>
      </c>
      <c r="AN77">
        <f t="shared" si="17"/>
        <v>81</v>
      </c>
      <c r="AO77">
        <f t="shared" si="18"/>
        <v>11</v>
      </c>
      <c r="AP77">
        <f t="shared" si="19"/>
        <v>0</v>
      </c>
      <c r="AQ77">
        <f t="shared" si="20"/>
        <v>0</v>
      </c>
    </row>
    <row r="78" spans="2:43" x14ac:dyDescent="0.2">
      <c r="B78" t="s">
        <v>32</v>
      </c>
      <c r="C78" t="s">
        <v>37</v>
      </c>
      <c r="D78">
        <v>395</v>
      </c>
      <c r="E78" s="2">
        <v>0.50900000000000001</v>
      </c>
      <c r="F78">
        <v>0.95</v>
      </c>
      <c r="G78" s="2">
        <v>0.57099999999999995</v>
      </c>
      <c r="H78">
        <v>201</v>
      </c>
      <c r="I78">
        <v>194</v>
      </c>
      <c r="J78">
        <v>259</v>
      </c>
      <c r="K78">
        <v>274</v>
      </c>
      <c r="L78">
        <v>95</v>
      </c>
      <c r="M78">
        <v>0</v>
      </c>
      <c r="N78">
        <v>3</v>
      </c>
      <c r="P78" t="s">
        <v>32</v>
      </c>
      <c r="Q78" t="s">
        <v>37</v>
      </c>
      <c r="R78">
        <v>108</v>
      </c>
      <c r="S78" s="2">
        <v>0.49099999999999999</v>
      </c>
      <c r="T78">
        <v>1.23</v>
      </c>
      <c r="U78" s="2">
        <v>0.60899999999999999</v>
      </c>
      <c r="V78">
        <v>53</v>
      </c>
      <c r="W78">
        <v>55</v>
      </c>
      <c r="X78">
        <v>87</v>
      </c>
      <c r="Y78">
        <v>71</v>
      </c>
      <c r="Z78">
        <v>20</v>
      </c>
      <c r="AA78">
        <v>0</v>
      </c>
      <c r="AB78">
        <v>0</v>
      </c>
      <c r="AE78" t="s">
        <v>32</v>
      </c>
      <c r="AF78" t="s">
        <v>37</v>
      </c>
      <c r="AG78">
        <f t="shared" si="11"/>
        <v>503</v>
      </c>
      <c r="AH78" s="2">
        <f t="shared" si="12"/>
        <v>0.50497017892644136</v>
      </c>
      <c r="AI78" s="2">
        <f t="shared" si="13"/>
        <v>1.0028985507246377</v>
      </c>
      <c r="AK78">
        <f t="shared" si="14"/>
        <v>254</v>
      </c>
      <c r="AL78">
        <f t="shared" si="15"/>
        <v>249</v>
      </c>
      <c r="AM78">
        <f t="shared" si="16"/>
        <v>346</v>
      </c>
      <c r="AN78">
        <f t="shared" si="17"/>
        <v>345</v>
      </c>
      <c r="AO78">
        <f t="shared" si="18"/>
        <v>115</v>
      </c>
      <c r="AP78">
        <f t="shared" si="19"/>
        <v>0</v>
      </c>
      <c r="AQ78">
        <f t="shared" si="20"/>
        <v>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Op_all</vt:lpstr>
      <vt:lpstr>Map_all</vt:lpstr>
      <vt:lpstr>Map_PC_ranked</vt:lpstr>
      <vt:lpstr>Map_PSN_ranked</vt:lpstr>
      <vt:lpstr>Op_PSN_all</vt:lpstr>
      <vt:lpstr>Op_PSN_ranked</vt:lpstr>
      <vt:lpstr>Op_PC_all</vt:lpstr>
      <vt:lpstr>Op_PC_ranked</vt:lpstr>
      <vt:lpstr>Op_working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Negrette</dc:creator>
  <cp:lastModifiedBy>Andrew Negrette</cp:lastModifiedBy>
  <dcterms:created xsi:type="dcterms:W3CDTF">2026-09-14T20:39:38Z</dcterms:created>
  <dcterms:modified xsi:type="dcterms:W3CDTF">2026-09-15T08:06:00Z</dcterms:modified>
</cp:coreProperties>
</file>